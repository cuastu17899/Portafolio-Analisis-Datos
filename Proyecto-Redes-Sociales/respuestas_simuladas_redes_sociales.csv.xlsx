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7821ad0b8f4a3c/Escritorio/PROYECTO GITHUT REDES SOCIALES/"/>
    </mc:Choice>
  </mc:AlternateContent>
  <xr:revisionPtr revIDLastSave="234" documentId="8_{172B750F-EC8D-4879-AF7D-F20165A5EE94}" xr6:coauthVersionLast="47" xr6:coauthVersionMax="47" xr10:uidLastSave="{A15A774E-B8DA-478E-9DD6-6E23E895FF08}"/>
  <bookViews>
    <workbookView xWindow="-96" yWindow="0" windowWidth="11712" windowHeight="12336" firstSheet="1" activeTab="1" xr2:uid="{212B41E3-AEFE-4DA8-8988-FDECBEB53DB9}"/>
  </bookViews>
  <sheets>
    <sheet name="respuestas_simuladas_redes_soci" sheetId="1" r:id="rId1"/>
    <sheet name="Anali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2" i="2" l="1"/>
  <c r="B78" i="2"/>
  <c r="B79" i="2"/>
  <c r="B80" i="2"/>
  <c r="B81" i="2"/>
  <c r="B77" i="2"/>
  <c r="B66" i="2"/>
  <c r="B63" i="2"/>
  <c r="B64" i="2"/>
  <c r="B65" i="2"/>
  <c r="B62" i="2"/>
  <c r="B52" i="2"/>
  <c r="B47" i="2"/>
  <c r="B48" i="2"/>
  <c r="B49" i="2"/>
  <c r="B50" i="2"/>
  <c r="B51" i="2"/>
  <c r="B46" i="2"/>
  <c r="B36" i="2"/>
  <c r="B32" i="2"/>
  <c r="B33" i="2"/>
  <c r="B34" i="2"/>
  <c r="B35" i="2"/>
  <c r="B31" i="2"/>
  <c r="B23" i="2"/>
  <c r="B22" i="2"/>
  <c r="B17" i="2"/>
  <c r="B18" i="2"/>
  <c r="B19" i="2"/>
  <c r="B20" i="2"/>
  <c r="B21" i="2"/>
  <c r="B9" i="2"/>
  <c r="B3" i="2"/>
  <c r="B4" i="2"/>
  <c r="B5" i="2"/>
  <c r="B6" i="2"/>
  <c r="B7" i="2"/>
  <c r="B8" i="2"/>
  <c r="B2" i="2"/>
</calcChain>
</file>

<file path=xl/sharedStrings.xml><?xml version="1.0" encoding="utf-8"?>
<sst xmlns="http://schemas.openxmlformats.org/spreadsheetml/2006/main" count="753" uniqueCount="50">
  <si>
    <t>id_respuesta</t>
  </si>
  <si>
    <t>Carrera</t>
  </si>
  <si>
    <t>Plataforma</t>
  </si>
  <si>
    <t>Tiempo</t>
  </si>
  <si>
    <t>Proposito</t>
  </si>
  <si>
    <t>Mayor_uso</t>
  </si>
  <si>
    <t>Dispositivo</t>
  </si>
  <si>
    <t>Productividad</t>
  </si>
  <si>
    <t>Ingeniería Mecánica</t>
  </si>
  <si>
    <t>Facebook</t>
  </si>
  <si>
    <t>Más de 8 horas</t>
  </si>
  <si>
    <t>Trabajo o emprendimiento</t>
  </si>
  <si>
    <t>Tarde</t>
  </si>
  <si>
    <t>Tableta</t>
  </si>
  <si>
    <t>Muy negativamente</t>
  </si>
  <si>
    <t>Otra</t>
  </si>
  <si>
    <t>WhatsApp</t>
  </si>
  <si>
    <t>Comunicación</t>
  </si>
  <si>
    <t>Noche</t>
  </si>
  <si>
    <t>Celular</t>
  </si>
  <si>
    <t>Negativamente</t>
  </si>
  <si>
    <t>Ingeniería de Sistemas</t>
  </si>
  <si>
    <t>Instagram</t>
  </si>
  <si>
    <t>3 a 4 horas</t>
  </si>
  <si>
    <t>Entretenimiento</t>
  </si>
  <si>
    <t>Computador</t>
  </si>
  <si>
    <t>Positivamente</t>
  </si>
  <si>
    <t>Ingeniería Industrial</t>
  </si>
  <si>
    <t>TikTok</t>
  </si>
  <si>
    <t>5 a 6 horas</t>
  </si>
  <si>
    <t>7 a 8 horas</t>
  </si>
  <si>
    <t>Noticias e información</t>
  </si>
  <si>
    <t>Mediodía / almuerzo</t>
  </si>
  <si>
    <t>No tiene influencia</t>
  </si>
  <si>
    <t>1 a 2 horas</t>
  </si>
  <si>
    <t>Muy positivamente</t>
  </si>
  <si>
    <t>YouTube</t>
  </si>
  <si>
    <t>Mañana</t>
  </si>
  <si>
    <t>Estudio o aprendizaje</t>
  </si>
  <si>
    <t>Durante todo el día</t>
  </si>
  <si>
    <t>Cantidad</t>
  </si>
  <si>
    <t>X</t>
  </si>
  <si>
    <t>Tiempo Diario</t>
  </si>
  <si>
    <t>Menos de 1 hora</t>
  </si>
  <si>
    <t>Propósito principal</t>
  </si>
  <si>
    <t>Momento de mayor uso</t>
  </si>
  <si>
    <t>Madrugada</t>
  </si>
  <si>
    <t>Dispositivos</t>
  </si>
  <si>
    <t>Otro</t>
  </si>
  <si>
    <t>Influencia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</si>
</sst>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0" fillId="0" borderId="0" xfId="0" applyBorder="1"/>
    <xf numFmtId="0" fontId="0" fillId="0" borderId="1" xfId="0" applyBorder="1"/>
    <xf numFmtId="0" fontId="0" fillId="2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" xfId="0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0" xfId="0" applyFill="1" applyBorder="1"/>
    <xf numFmtId="0" fontId="0" fillId="0" borderId="7" xfId="0" applyFill="1" applyBorder="1"/>
    <xf numFmtId="0" fontId="0" fillId="0" borderId="8" xfId="0" applyFill="1" applyBorder="1"/>
    <xf numFmtId="0" fontId="0" fillId="0" borderId="9" xfId="0" applyFill="1" applyBorder="1"/>
    <xf numFmtId="0" fontId="0" fillId="0" borderId="10" xfId="0" applyFill="1" applyBorder="1"/>
    <xf numFmtId="0" fontId="0" fillId="0" borderId="11" xfId="0" applyFill="1" applyBorder="1"/>
    <xf numFmtId="0" fontId="0" fillId="0" borderId="6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Plataforma</a:t>
            </a:r>
            <a:r>
              <a:rPr lang="en-US" baseline="0"/>
              <a:t> principal de redes sociales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Analisis!$B$1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Analisis!$A$2:$A$8</c:f>
              <c:strCache>
                <c:ptCount val="7"/>
                <c:pt idx="0">
                  <c:v>TikTok</c:v>
                </c:pt>
                <c:pt idx="1">
                  <c:v>Instagram</c:v>
                </c:pt>
                <c:pt idx="2">
                  <c:v>WhatsApp</c:v>
                </c:pt>
                <c:pt idx="3">
                  <c:v>YouTube</c:v>
                </c:pt>
                <c:pt idx="4">
                  <c:v>Facebook</c:v>
                </c:pt>
                <c:pt idx="5">
                  <c:v>X</c:v>
                </c:pt>
                <c:pt idx="6">
                  <c:v>Otra</c:v>
                </c:pt>
              </c:strCache>
            </c:strRef>
          </c:cat>
          <c:val>
            <c:numRef>
              <c:f>Analisis!$B$2:$B$8</c:f>
              <c:numCache>
                <c:formatCode>General</c:formatCode>
                <c:ptCount val="7"/>
                <c:pt idx="0">
                  <c:v>42</c:v>
                </c:pt>
                <c:pt idx="1">
                  <c:v>32</c:v>
                </c:pt>
                <c:pt idx="2">
                  <c:v>9</c:v>
                </c:pt>
                <c:pt idx="3">
                  <c:v>11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04-4390-824C-200FDEA5C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5313679"/>
        <c:axId val="30212367"/>
      </c:barChart>
      <c:catAx>
        <c:axId val="46531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0212367"/>
        <c:crosses val="autoZero"/>
        <c:auto val="1"/>
        <c:lblAlgn val="ctr"/>
        <c:lblOffset val="100"/>
        <c:noMultiLvlLbl val="0"/>
      </c:catAx>
      <c:valAx>
        <c:axId val="3021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5313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Tiempo</a:t>
            </a:r>
            <a:r>
              <a:rPr lang="es-ES" baseline="0"/>
              <a:t> diario dedicado a las redes sociales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Analisis!$A$16</c:f>
              <c:strCache>
                <c:ptCount val="1"/>
                <c:pt idx="0">
                  <c:v>Tiempo Diario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Analisis!$A$17:$A$23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B7-42A9-BB98-ECFC909350B0}"/>
            </c:ext>
          </c:extLst>
        </c:ser>
        <c:ser>
          <c:idx val="1"/>
          <c:order val="1"/>
          <c:tx>
            <c:strRef>
              <c:f>Analisis!$B$16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Analisis!$B$17:$B$23</c:f>
              <c:numCache>
                <c:formatCode>General</c:formatCode>
                <c:ptCount val="7"/>
                <c:pt idx="0">
                  <c:v>0</c:v>
                </c:pt>
                <c:pt idx="1">
                  <c:v>14</c:v>
                </c:pt>
                <c:pt idx="2">
                  <c:v>7</c:v>
                </c:pt>
                <c:pt idx="3">
                  <c:v>25</c:v>
                </c:pt>
                <c:pt idx="4">
                  <c:v>24</c:v>
                </c:pt>
                <c:pt idx="5">
                  <c:v>30</c:v>
                </c:pt>
                <c:pt idx="6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B7-42A9-BB98-ECFC90935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2023679"/>
        <c:axId val="30198927"/>
      </c:barChart>
      <c:catAx>
        <c:axId val="5420236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0198927"/>
        <c:crosses val="autoZero"/>
        <c:auto val="1"/>
        <c:lblAlgn val="ctr"/>
        <c:lblOffset val="100"/>
        <c:noMultiLvlLbl val="0"/>
      </c:catAx>
      <c:valAx>
        <c:axId val="3019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42023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Proposito</a:t>
            </a:r>
            <a:r>
              <a:rPr lang="en-US" baseline="0"/>
              <a:t> principal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Analisis!$B$30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Analisis!$A$31:$A$35</c:f>
              <c:strCache>
                <c:ptCount val="5"/>
                <c:pt idx="0">
                  <c:v>Entretenimiento</c:v>
                </c:pt>
                <c:pt idx="1">
                  <c:v>Comunicación</c:v>
                </c:pt>
                <c:pt idx="2">
                  <c:v>Estudio o aprendizaje</c:v>
                </c:pt>
                <c:pt idx="3">
                  <c:v>Noticias e información</c:v>
                </c:pt>
                <c:pt idx="4">
                  <c:v>Trabajo o emprendimiento</c:v>
                </c:pt>
              </c:strCache>
            </c:strRef>
          </c:cat>
          <c:val>
            <c:numRef>
              <c:f>Analisis!$B$31:$B$35</c:f>
              <c:numCache>
                <c:formatCode>General</c:formatCode>
                <c:ptCount val="5"/>
                <c:pt idx="0">
                  <c:v>48</c:v>
                </c:pt>
                <c:pt idx="1">
                  <c:v>27</c:v>
                </c:pt>
                <c:pt idx="2">
                  <c:v>8</c:v>
                </c:pt>
                <c:pt idx="3">
                  <c:v>9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47-48D9-A295-7F2A99598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2015791"/>
        <c:axId val="30204687"/>
      </c:barChart>
      <c:catAx>
        <c:axId val="542015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0204687"/>
        <c:crosses val="autoZero"/>
        <c:auto val="1"/>
        <c:lblAlgn val="ctr"/>
        <c:lblOffset val="100"/>
        <c:noMultiLvlLbl val="0"/>
      </c:catAx>
      <c:valAx>
        <c:axId val="3020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42015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Momento</a:t>
            </a:r>
            <a:r>
              <a:rPr lang="es-ES" baseline="0"/>
              <a:t> de mayor uso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Analisis!$A$45</c:f>
              <c:strCache>
                <c:ptCount val="1"/>
                <c:pt idx="0">
                  <c:v>Momento de mayor uso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Analisis!$A$46:$A$52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69-4918-8AC9-B39FF7BD6253}"/>
            </c:ext>
          </c:extLst>
        </c:ser>
        <c:ser>
          <c:idx val="1"/>
          <c:order val="1"/>
          <c:tx>
            <c:strRef>
              <c:f>Analisis!$B$45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Analisis!$B$46:$B$52</c:f>
              <c:numCache>
                <c:formatCode>General</c:formatCode>
                <c:ptCount val="7"/>
                <c:pt idx="0">
                  <c:v>13</c:v>
                </c:pt>
                <c:pt idx="1">
                  <c:v>29</c:v>
                </c:pt>
                <c:pt idx="2">
                  <c:v>29</c:v>
                </c:pt>
                <c:pt idx="3">
                  <c:v>0</c:v>
                </c:pt>
                <c:pt idx="4">
                  <c:v>12</c:v>
                </c:pt>
                <c:pt idx="5">
                  <c:v>17</c:v>
                </c:pt>
                <c:pt idx="6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69-4918-8AC9-B39FF7BD6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7195487"/>
        <c:axId val="30185967"/>
      </c:barChart>
      <c:catAx>
        <c:axId val="5471954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0185967"/>
        <c:crosses val="autoZero"/>
        <c:auto val="1"/>
        <c:lblAlgn val="ctr"/>
        <c:lblOffset val="100"/>
        <c:noMultiLvlLbl val="0"/>
      </c:catAx>
      <c:valAx>
        <c:axId val="3018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47195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Dispositivo</a:t>
            </a:r>
            <a:r>
              <a:rPr lang="es-ES" baseline="0"/>
              <a:t>s principales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Analisis!$A$61</c:f>
              <c:strCache>
                <c:ptCount val="1"/>
                <c:pt idx="0">
                  <c:v>Dispositivos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Analisis!$A$62:$A$66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98-403F-BB1D-0A778FCB9B32}"/>
            </c:ext>
          </c:extLst>
        </c:ser>
        <c:ser>
          <c:idx val="1"/>
          <c:order val="1"/>
          <c:tx>
            <c:strRef>
              <c:f>Analisis!$B$61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Analisis!$B$62:$B$66</c:f>
              <c:numCache>
                <c:formatCode>General</c:formatCode>
                <c:ptCount val="5"/>
                <c:pt idx="0">
                  <c:v>88</c:v>
                </c:pt>
                <c:pt idx="1">
                  <c:v>3</c:v>
                </c:pt>
                <c:pt idx="2">
                  <c:v>9</c:v>
                </c:pt>
                <c:pt idx="3">
                  <c:v>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98-403F-BB1D-0A778FCB9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7180639"/>
        <c:axId val="30190767"/>
      </c:barChart>
      <c:catAx>
        <c:axId val="5471806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0190767"/>
        <c:crosses val="autoZero"/>
        <c:auto val="1"/>
        <c:lblAlgn val="ctr"/>
        <c:lblOffset val="100"/>
        <c:noMultiLvlLbl val="0"/>
      </c:catAx>
      <c:valAx>
        <c:axId val="3019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47180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Influencia</a:t>
            </a:r>
            <a:r>
              <a:rPr lang="es-ES" baseline="0"/>
              <a:t> en la productividad académica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Analisis!$A$76</c:f>
              <c:strCache>
                <c:ptCount val="1"/>
                <c:pt idx="0">
                  <c:v>Influencia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Analisis!$A$77:$A$82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D0-494D-900D-B59A3C68BB7A}"/>
            </c:ext>
          </c:extLst>
        </c:ser>
        <c:ser>
          <c:idx val="1"/>
          <c:order val="1"/>
          <c:tx>
            <c:strRef>
              <c:f>Analisis!$B$76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Analisis!$B$77:$B$82</c:f>
              <c:numCache>
                <c:formatCode>General</c:formatCode>
                <c:ptCount val="6"/>
                <c:pt idx="0">
                  <c:v>7</c:v>
                </c:pt>
                <c:pt idx="1">
                  <c:v>17</c:v>
                </c:pt>
                <c:pt idx="2">
                  <c:v>44</c:v>
                </c:pt>
                <c:pt idx="3">
                  <c:v>22</c:v>
                </c:pt>
                <c:pt idx="4">
                  <c:v>10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D0-494D-900D-B59A3C68B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3056223"/>
        <c:axId val="30171087"/>
      </c:barChart>
      <c:catAx>
        <c:axId val="5830562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0171087"/>
        <c:crosses val="autoZero"/>
        <c:auto val="1"/>
        <c:lblAlgn val="ctr"/>
        <c:lblOffset val="100"/>
        <c:noMultiLvlLbl val="0"/>
      </c:catAx>
      <c:valAx>
        <c:axId val="3017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83056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</xdr:colOff>
      <xdr:row>0</xdr:row>
      <xdr:rowOff>0</xdr:rowOff>
    </xdr:from>
    <xdr:to>
      <xdr:col>6</xdr:col>
      <xdr:colOff>723900</xdr:colOff>
      <xdr:row>12</xdr:row>
      <xdr:rowOff>114300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E1DFD6C-4B22-5993-6114-E53B9B40DD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30480</xdr:colOff>
      <xdr:row>15</xdr:row>
      <xdr:rowOff>30480</xdr:rowOff>
    </xdr:from>
    <xdr:to>
      <xdr:col>6</xdr:col>
      <xdr:colOff>746760</xdr:colOff>
      <xdr:row>26</xdr:row>
      <xdr:rowOff>83820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E317070-5E8C-9DAD-DC69-F387389CA2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7620</xdr:colOff>
      <xdr:row>28</xdr:row>
      <xdr:rowOff>182880</xdr:rowOff>
    </xdr:from>
    <xdr:to>
      <xdr:col>7</xdr:col>
      <xdr:colOff>746760</xdr:colOff>
      <xdr:row>41</xdr:row>
      <xdr:rowOff>129540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4F3A4BB-609A-0813-A34C-9B674AD0C8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53340</xdr:colOff>
      <xdr:row>44</xdr:row>
      <xdr:rowOff>15240</xdr:rowOff>
    </xdr:from>
    <xdr:to>
      <xdr:col>7</xdr:col>
      <xdr:colOff>762000</xdr:colOff>
      <xdr:row>57</xdr:row>
      <xdr:rowOff>121920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48B2E7F-5DC4-0532-176B-84814B5A45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15240</xdr:colOff>
      <xdr:row>60</xdr:row>
      <xdr:rowOff>38100</xdr:rowOff>
    </xdr:from>
    <xdr:to>
      <xdr:col>7</xdr:col>
      <xdr:colOff>762000</xdr:colOff>
      <xdr:row>72</xdr:row>
      <xdr:rowOff>175260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7201987-BFF4-D3D0-B648-75EE713BF7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106680</xdr:colOff>
      <xdr:row>75</xdr:row>
      <xdr:rowOff>30480</xdr:rowOff>
    </xdr:from>
    <xdr:to>
      <xdr:col>7</xdr:col>
      <xdr:colOff>708660</xdr:colOff>
      <xdr:row>88</xdr:row>
      <xdr:rowOff>152400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271999B-0AAF-EAC8-3E35-410ED868E0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3CC2F-B8EE-47AD-9D23-E93A725AC276}">
  <dimension ref="A1:H101"/>
  <sheetViews>
    <sheetView topLeftCell="D82" zoomScale="117" zoomScaleNormal="117" workbookViewId="0">
      <selection activeCell="D1" sqref="D1"/>
    </sheetView>
  </sheetViews>
  <sheetFormatPr baseColWidth="10" defaultRowHeight="14.4" x14ac:dyDescent="0.3"/>
  <cols>
    <col min="1" max="1" width="11.5546875" customWidth="1"/>
    <col min="2" max="2" width="19" customWidth="1"/>
    <col min="3" max="3" width="11.5546875" customWidth="1"/>
    <col min="4" max="4" width="13.5546875" customWidth="1"/>
    <col min="5" max="5" width="22.5546875" customWidth="1"/>
    <col min="6" max="6" width="17.44140625" customWidth="1"/>
    <col min="8" max="8" width="17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27</v>
      </c>
      <c r="C2" t="s">
        <v>16</v>
      </c>
      <c r="D2" t="s">
        <v>10</v>
      </c>
      <c r="E2" t="s">
        <v>24</v>
      </c>
      <c r="F2" t="s">
        <v>12</v>
      </c>
      <c r="G2" t="s">
        <v>25</v>
      </c>
      <c r="H2" t="s">
        <v>26</v>
      </c>
    </row>
    <row r="3" spans="1:8" x14ac:dyDescent="0.3">
      <c r="A3">
        <v>2</v>
      </c>
      <c r="B3" t="s">
        <v>21</v>
      </c>
      <c r="C3" t="s">
        <v>36</v>
      </c>
      <c r="D3" t="s">
        <v>29</v>
      </c>
      <c r="E3" t="s">
        <v>24</v>
      </c>
      <c r="F3" t="s">
        <v>12</v>
      </c>
      <c r="G3" t="s">
        <v>13</v>
      </c>
      <c r="H3" t="s">
        <v>14</v>
      </c>
    </row>
    <row r="4" spans="1:8" x14ac:dyDescent="0.3">
      <c r="A4">
        <v>3</v>
      </c>
      <c r="B4" t="s">
        <v>15</v>
      </c>
      <c r="C4" t="s">
        <v>36</v>
      </c>
      <c r="D4" t="s">
        <v>10</v>
      </c>
      <c r="E4" t="s">
        <v>17</v>
      </c>
      <c r="F4" t="s">
        <v>37</v>
      </c>
      <c r="G4" t="s">
        <v>19</v>
      </c>
      <c r="H4" t="s">
        <v>20</v>
      </c>
    </row>
    <row r="5" spans="1:8" x14ac:dyDescent="0.3">
      <c r="A5">
        <v>4</v>
      </c>
      <c r="B5" t="s">
        <v>21</v>
      </c>
      <c r="C5" t="s">
        <v>22</v>
      </c>
      <c r="D5" t="s">
        <v>29</v>
      </c>
      <c r="E5" t="s">
        <v>24</v>
      </c>
      <c r="F5" t="s">
        <v>18</v>
      </c>
      <c r="G5" t="s">
        <v>19</v>
      </c>
      <c r="H5" t="s">
        <v>20</v>
      </c>
    </row>
    <row r="6" spans="1:8" x14ac:dyDescent="0.3">
      <c r="A6">
        <v>5</v>
      </c>
      <c r="B6" t="s">
        <v>21</v>
      </c>
      <c r="C6" t="s">
        <v>22</v>
      </c>
      <c r="D6" t="s">
        <v>29</v>
      </c>
      <c r="E6" t="s">
        <v>24</v>
      </c>
      <c r="F6" t="s">
        <v>18</v>
      </c>
      <c r="G6" t="s">
        <v>19</v>
      </c>
      <c r="H6" t="s">
        <v>33</v>
      </c>
    </row>
    <row r="7" spans="1:8" x14ac:dyDescent="0.3">
      <c r="A7">
        <v>6</v>
      </c>
      <c r="B7" t="s">
        <v>8</v>
      </c>
      <c r="C7" t="s">
        <v>22</v>
      </c>
      <c r="D7" t="s">
        <v>34</v>
      </c>
      <c r="E7" t="s">
        <v>24</v>
      </c>
      <c r="F7" t="s">
        <v>18</v>
      </c>
      <c r="G7" t="s">
        <v>19</v>
      </c>
      <c r="H7" t="s">
        <v>33</v>
      </c>
    </row>
    <row r="8" spans="1:8" x14ac:dyDescent="0.3">
      <c r="A8">
        <v>7</v>
      </c>
      <c r="B8" t="s">
        <v>21</v>
      </c>
      <c r="C8" t="s">
        <v>22</v>
      </c>
      <c r="D8" t="s">
        <v>29</v>
      </c>
      <c r="E8" t="s">
        <v>24</v>
      </c>
      <c r="F8" t="s">
        <v>37</v>
      </c>
      <c r="G8" t="s">
        <v>19</v>
      </c>
      <c r="H8" t="s">
        <v>33</v>
      </c>
    </row>
    <row r="9" spans="1:8" x14ac:dyDescent="0.3">
      <c r="A9">
        <v>8</v>
      </c>
      <c r="B9" t="s">
        <v>27</v>
      </c>
      <c r="C9" t="s">
        <v>22</v>
      </c>
      <c r="D9" t="s">
        <v>10</v>
      </c>
      <c r="E9" t="s">
        <v>31</v>
      </c>
      <c r="F9" t="s">
        <v>37</v>
      </c>
      <c r="G9" t="s">
        <v>19</v>
      </c>
      <c r="H9" t="s">
        <v>33</v>
      </c>
    </row>
    <row r="10" spans="1:8" x14ac:dyDescent="0.3">
      <c r="A10">
        <v>9</v>
      </c>
      <c r="B10" t="s">
        <v>21</v>
      </c>
      <c r="C10" t="s">
        <v>22</v>
      </c>
      <c r="D10" t="s">
        <v>29</v>
      </c>
      <c r="E10" t="s">
        <v>24</v>
      </c>
      <c r="F10" t="s">
        <v>18</v>
      </c>
      <c r="G10" t="s">
        <v>19</v>
      </c>
      <c r="H10" t="s">
        <v>33</v>
      </c>
    </row>
    <row r="11" spans="1:8" x14ac:dyDescent="0.3">
      <c r="A11">
        <v>10</v>
      </c>
      <c r="B11" t="s">
        <v>21</v>
      </c>
      <c r="C11" t="s">
        <v>22</v>
      </c>
      <c r="D11" t="s">
        <v>30</v>
      </c>
      <c r="E11" t="s">
        <v>24</v>
      </c>
      <c r="F11" t="s">
        <v>39</v>
      </c>
      <c r="G11" t="s">
        <v>19</v>
      </c>
      <c r="H11" t="s">
        <v>14</v>
      </c>
    </row>
    <row r="12" spans="1:8" x14ac:dyDescent="0.3">
      <c r="A12">
        <v>11</v>
      </c>
      <c r="B12" t="s">
        <v>15</v>
      </c>
      <c r="C12" t="s">
        <v>28</v>
      </c>
      <c r="D12" t="s">
        <v>29</v>
      </c>
      <c r="E12" t="s">
        <v>24</v>
      </c>
      <c r="F12" t="s">
        <v>12</v>
      </c>
      <c r="G12" t="s">
        <v>19</v>
      </c>
      <c r="H12" t="s">
        <v>14</v>
      </c>
    </row>
    <row r="13" spans="1:8" x14ac:dyDescent="0.3">
      <c r="A13">
        <v>12</v>
      </c>
      <c r="B13" t="s">
        <v>21</v>
      </c>
      <c r="C13" t="s">
        <v>22</v>
      </c>
      <c r="D13" t="s">
        <v>10</v>
      </c>
      <c r="E13" t="s">
        <v>38</v>
      </c>
      <c r="F13" t="s">
        <v>18</v>
      </c>
      <c r="G13" t="s">
        <v>19</v>
      </c>
      <c r="H13" t="s">
        <v>20</v>
      </c>
    </row>
    <row r="14" spans="1:8" x14ac:dyDescent="0.3">
      <c r="A14">
        <v>13</v>
      </c>
      <c r="B14" t="s">
        <v>8</v>
      </c>
      <c r="C14" t="s">
        <v>16</v>
      </c>
      <c r="D14" t="s">
        <v>30</v>
      </c>
      <c r="E14" t="s">
        <v>24</v>
      </c>
      <c r="F14" t="s">
        <v>32</v>
      </c>
      <c r="G14" t="s">
        <v>19</v>
      </c>
      <c r="H14" t="s">
        <v>14</v>
      </c>
    </row>
    <row r="15" spans="1:8" x14ac:dyDescent="0.3">
      <c r="A15">
        <v>14</v>
      </c>
      <c r="B15" t="s">
        <v>15</v>
      </c>
      <c r="C15" t="s">
        <v>22</v>
      </c>
      <c r="D15" t="s">
        <v>10</v>
      </c>
      <c r="E15" t="s">
        <v>24</v>
      </c>
      <c r="F15" t="s">
        <v>37</v>
      </c>
      <c r="G15" t="s">
        <v>19</v>
      </c>
      <c r="H15" t="s">
        <v>20</v>
      </c>
    </row>
    <row r="16" spans="1:8" x14ac:dyDescent="0.3">
      <c r="A16">
        <v>15</v>
      </c>
      <c r="B16" t="s">
        <v>21</v>
      </c>
      <c r="C16" t="s">
        <v>28</v>
      </c>
      <c r="D16" t="s">
        <v>29</v>
      </c>
      <c r="E16" t="s">
        <v>31</v>
      </c>
      <c r="F16" t="s">
        <v>12</v>
      </c>
      <c r="G16" t="s">
        <v>19</v>
      </c>
      <c r="H16" t="s">
        <v>33</v>
      </c>
    </row>
    <row r="17" spans="1:8" x14ac:dyDescent="0.3">
      <c r="A17">
        <v>16</v>
      </c>
      <c r="B17" t="s">
        <v>21</v>
      </c>
      <c r="C17" t="s">
        <v>36</v>
      </c>
      <c r="D17" t="s">
        <v>23</v>
      </c>
      <c r="E17" t="s">
        <v>24</v>
      </c>
      <c r="F17" t="s">
        <v>39</v>
      </c>
      <c r="G17" t="s">
        <v>19</v>
      </c>
      <c r="H17" t="s">
        <v>33</v>
      </c>
    </row>
    <row r="18" spans="1:8" x14ac:dyDescent="0.3">
      <c r="A18">
        <v>17</v>
      </c>
      <c r="B18" t="s">
        <v>15</v>
      </c>
      <c r="C18" t="s">
        <v>22</v>
      </c>
      <c r="D18" t="s">
        <v>29</v>
      </c>
      <c r="E18" t="s">
        <v>11</v>
      </c>
      <c r="F18" t="s">
        <v>12</v>
      </c>
      <c r="G18" t="s">
        <v>19</v>
      </c>
      <c r="H18" t="s">
        <v>20</v>
      </c>
    </row>
    <row r="19" spans="1:8" x14ac:dyDescent="0.3">
      <c r="A19">
        <v>18</v>
      </c>
      <c r="B19" t="s">
        <v>8</v>
      </c>
      <c r="C19" t="s">
        <v>22</v>
      </c>
      <c r="D19" t="s">
        <v>10</v>
      </c>
      <c r="E19" t="s">
        <v>24</v>
      </c>
      <c r="F19" t="s">
        <v>39</v>
      </c>
      <c r="G19" t="s">
        <v>19</v>
      </c>
      <c r="H19" t="s">
        <v>20</v>
      </c>
    </row>
    <row r="20" spans="1:8" x14ac:dyDescent="0.3">
      <c r="A20">
        <v>19</v>
      </c>
      <c r="B20" t="s">
        <v>21</v>
      </c>
      <c r="C20" t="s">
        <v>22</v>
      </c>
      <c r="D20" t="s">
        <v>29</v>
      </c>
      <c r="E20" t="s">
        <v>17</v>
      </c>
      <c r="F20" t="s">
        <v>12</v>
      </c>
      <c r="G20" t="s">
        <v>13</v>
      </c>
      <c r="H20" t="s">
        <v>20</v>
      </c>
    </row>
    <row r="21" spans="1:8" x14ac:dyDescent="0.3">
      <c r="A21">
        <v>20</v>
      </c>
      <c r="B21" t="s">
        <v>27</v>
      </c>
      <c r="C21" t="s">
        <v>22</v>
      </c>
      <c r="D21" t="s">
        <v>29</v>
      </c>
      <c r="E21" t="s">
        <v>17</v>
      </c>
      <c r="F21" t="s">
        <v>32</v>
      </c>
      <c r="G21" t="s">
        <v>19</v>
      </c>
      <c r="H21" t="s">
        <v>26</v>
      </c>
    </row>
    <row r="22" spans="1:8" x14ac:dyDescent="0.3">
      <c r="A22">
        <v>21</v>
      </c>
      <c r="B22" t="s">
        <v>15</v>
      </c>
      <c r="C22" t="s">
        <v>28</v>
      </c>
      <c r="D22" t="s">
        <v>30</v>
      </c>
      <c r="E22" t="s">
        <v>17</v>
      </c>
      <c r="F22" t="s">
        <v>39</v>
      </c>
      <c r="G22" t="s">
        <v>19</v>
      </c>
      <c r="H22" t="s">
        <v>20</v>
      </c>
    </row>
    <row r="23" spans="1:8" x14ac:dyDescent="0.3">
      <c r="A23">
        <v>22</v>
      </c>
      <c r="B23" t="s">
        <v>27</v>
      </c>
      <c r="C23" t="s">
        <v>28</v>
      </c>
      <c r="D23" t="s">
        <v>30</v>
      </c>
      <c r="E23" t="s">
        <v>17</v>
      </c>
      <c r="F23" t="s">
        <v>18</v>
      </c>
      <c r="G23" t="s">
        <v>19</v>
      </c>
      <c r="H23" t="s">
        <v>20</v>
      </c>
    </row>
    <row r="24" spans="1:8" x14ac:dyDescent="0.3">
      <c r="A24">
        <v>23</v>
      </c>
      <c r="B24" t="s">
        <v>8</v>
      </c>
      <c r="C24" t="s">
        <v>28</v>
      </c>
      <c r="D24" t="s">
        <v>34</v>
      </c>
      <c r="E24" t="s">
        <v>17</v>
      </c>
      <c r="F24" t="s">
        <v>32</v>
      </c>
      <c r="G24" t="s">
        <v>13</v>
      </c>
      <c r="H24" t="s">
        <v>35</v>
      </c>
    </row>
    <row r="25" spans="1:8" x14ac:dyDescent="0.3">
      <c r="A25">
        <v>24</v>
      </c>
      <c r="B25" t="s">
        <v>21</v>
      </c>
      <c r="C25" t="s">
        <v>28</v>
      </c>
      <c r="D25" t="s">
        <v>34</v>
      </c>
      <c r="E25" t="s">
        <v>11</v>
      </c>
      <c r="F25" t="s">
        <v>32</v>
      </c>
      <c r="G25" t="s">
        <v>19</v>
      </c>
      <c r="H25" t="s">
        <v>20</v>
      </c>
    </row>
    <row r="26" spans="1:8" x14ac:dyDescent="0.3">
      <c r="A26">
        <v>25</v>
      </c>
      <c r="B26" t="s">
        <v>27</v>
      </c>
      <c r="C26" t="s">
        <v>22</v>
      </c>
      <c r="D26" t="s">
        <v>30</v>
      </c>
      <c r="E26" t="s">
        <v>17</v>
      </c>
      <c r="F26" t="s">
        <v>37</v>
      </c>
      <c r="G26" t="s">
        <v>19</v>
      </c>
      <c r="H26" t="s">
        <v>20</v>
      </c>
    </row>
    <row r="27" spans="1:8" x14ac:dyDescent="0.3">
      <c r="A27">
        <v>26</v>
      </c>
      <c r="B27" t="s">
        <v>8</v>
      </c>
      <c r="C27" t="s">
        <v>28</v>
      </c>
      <c r="D27" t="s">
        <v>30</v>
      </c>
      <c r="E27" t="s">
        <v>17</v>
      </c>
      <c r="F27" t="s">
        <v>18</v>
      </c>
      <c r="G27" t="s">
        <v>19</v>
      </c>
      <c r="H27" t="s">
        <v>14</v>
      </c>
    </row>
    <row r="28" spans="1:8" x14ac:dyDescent="0.3">
      <c r="A28">
        <v>27</v>
      </c>
      <c r="B28" t="s">
        <v>21</v>
      </c>
      <c r="C28" t="s">
        <v>22</v>
      </c>
      <c r="D28" t="s">
        <v>29</v>
      </c>
      <c r="E28" t="s">
        <v>17</v>
      </c>
      <c r="F28" t="s">
        <v>12</v>
      </c>
      <c r="G28" t="s">
        <v>13</v>
      </c>
      <c r="H28" t="s">
        <v>20</v>
      </c>
    </row>
    <row r="29" spans="1:8" x14ac:dyDescent="0.3">
      <c r="A29">
        <v>28</v>
      </c>
      <c r="B29" t="s">
        <v>27</v>
      </c>
      <c r="C29" t="s">
        <v>28</v>
      </c>
      <c r="D29" t="s">
        <v>34</v>
      </c>
      <c r="E29" t="s">
        <v>24</v>
      </c>
      <c r="F29" t="s">
        <v>12</v>
      </c>
      <c r="G29" t="s">
        <v>19</v>
      </c>
      <c r="H29" t="s">
        <v>33</v>
      </c>
    </row>
    <row r="30" spans="1:8" x14ac:dyDescent="0.3">
      <c r="A30">
        <v>29</v>
      </c>
      <c r="B30" t="s">
        <v>27</v>
      </c>
      <c r="C30" t="s">
        <v>36</v>
      </c>
      <c r="D30" t="s">
        <v>29</v>
      </c>
      <c r="E30" t="s">
        <v>24</v>
      </c>
      <c r="F30" t="s">
        <v>18</v>
      </c>
      <c r="G30" t="s">
        <v>19</v>
      </c>
      <c r="H30" t="s">
        <v>33</v>
      </c>
    </row>
    <row r="31" spans="1:8" x14ac:dyDescent="0.3">
      <c r="A31">
        <v>30</v>
      </c>
      <c r="B31" t="s">
        <v>8</v>
      </c>
      <c r="C31" t="s">
        <v>28</v>
      </c>
      <c r="D31" t="s">
        <v>30</v>
      </c>
      <c r="E31" t="s">
        <v>17</v>
      </c>
      <c r="F31" t="s">
        <v>18</v>
      </c>
      <c r="G31" t="s">
        <v>19</v>
      </c>
      <c r="H31" t="s">
        <v>20</v>
      </c>
    </row>
    <row r="32" spans="1:8" x14ac:dyDescent="0.3">
      <c r="A32">
        <v>31</v>
      </c>
      <c r="B32" t="s">
        <v>27</v>
      </c>
      <c r="C32" t="s">
        <v>28</v>
      </c>
      <c r="D32" t="s">
        <v>34</v>
      </c>
      <c r="E32" t="s">
        <v>17</v>
      </c>
      <c r="F32" t="s">
        <v>18</v>
      </c>
      <c r="G32" t="s">
        <v>19</v>
      </c>
      <c r="H32" t="s">
        <v>20</v>
      </c>
    </row>
    <row r="33" spans="1:8" x14ac:dyDescent="0.3">
      <c r="A33">
        <v>32</v>
      </c>
      <c r="B33" t="s">
        <v>27</v>
      </c>
      <c r="C33" t="s">
        <v>36</v>
      </c>
      <c r="D33" t="s">
        <v>10</v>
      </c>
      <c r="E33" t="s">
        <v>17</v>
      </c>
      <c r="F33" t="s">
        <v>12</v>
      </c>
      <c r="G33" t="s">
        <v>19</v>
      </c>
      <c r="H33" t="s">
        <v>20</v>
      </c>
    </row>
    <row r="34" spans="1:8" x14ac:dyDescent="0.3">
      <c r="A34">
        <v>33</v>
      </c>
      <c r="B34" t="s">
        <v>8</v>
      </c>
      <c r="C34" t="s">
        <v>28</v>
      </c>
      <c r="D34" t="s">
        <v>34</v>
      </c>
      <c r="E34" t="s">
        <v>24</v>
      </c>
      <c r="F34" t="s">
        <v>12</v>
      </c>
      <c r="G34" t="s">
        <v>25</v>
      </c>
      <c r="H34" t="s">
        <v>14</v>
      </c>
    </row>
    <row r="35" spans="1:8" x14ac:dyDescent="0.3">
      <c r="A35">
        <v>34</v>
      </c>
      <c r="B35" t="s">
        <v>21</v>
      </c>
      <c r="C35" t="s">
        <v>36</v>
      </c>
      <c r="D35" t="s">
        <v>30</v>
      </c>
      <c r="E35" t="s">
        <v>11</v>
      </c>
      <c r="F35" t="s">
        <v>37</v>
      </c>
      <c r="G35" t="s">
        <v>19</v>
      </c>
      <c r="H35" t="s">
        <v>20</v>
      </c>
    </row>
    <row r="36" spans="1:8" x14ac:dyDescent="0.3">
      <c r="A36">
        <v>35</v>
      </c>
      <c r="B36" t="s">
        <v>27</v>
      </c>
      <c r="C36" t="s">
        <v>36</v>
      </c>
      <c r="D36" t="s">
        <v>10</v>
      </c>
      <c r="E36" t="s">
        <v>24</v>
      </c>
      <c r="F36" t="s">
        <v>18</v>
      </c>
      <c r="G36" t="s">
        <v>19</v>
      </c>
      <c r="H36" t="s">
        <v>35</v>
      </c>
    </row>
    <row r="37" spans="1:8" x14ac:dyDescent="0.3">
      <c r="A37">
        <v>36</v>
      </c>
      <c r="B37" t="s">
        <v>8</v>
      </c>
      <c r="C37" t="s">
        <v>28</v>
      </c>
      <c r="D37" t="s">
        <v>10</v>
      </c>
      <c r="E37" t="s">
        <v>24</v>
      </c>
      <c r="F37" t="s">
        <v>12</v>
      </c>
      <c r="G37" t="s">
        <v>19</v>
      </c>
      <c r="H37" t="s">
        <v>35</v>
      </c>
    </row>
    <row r="38" spans="1:8" x14ac:dyDescent="0.3">
      <c r="A38">
        <v>37</v>
      </c>
      <c r="B38" t="s">
        <v>15</v>
      </c>
      <c r="C38" t="s">
        <v>16</v>
      </c>
      <c r="D38" t="s">
        <v>29</v>
      </c>
      <c r="E38" t="s">
        <v>38</v>
      </c>
      <c r="F38" t="s">
        <v>18</v>
      </c>
      <c r="G38" t="s">
        <v>19</v>
      </c>
      <c r="H38" t="s">
        <v>20</v>
      </c>
    </row>
    <row r="39" spans="1:8" x14ac:dyDescent="0.3">
      <c r="A39">
        <v>38</v>
      </c>
      <c r="B39" t="s">
        <v>15</v>
      </c>
      <c r="C39" t="s">
        <v>28</v>
      </c>
      <c r="D39" t="s">
        <v>30</v>
      </c>
      <c r="E39" t="s">
        <v>11</v>
      </c>
      <c r="F39" t="s">
        <v>18</v>
      </c>
      <c r="G39" t="s">
        <v>19</v>
      </c>
      <c r="H39" t="s">
        <v>26</v>
      </c>
    </row>
    <row r="40" spans="1:8" x14ac:dyDescent="0.3">
      <c r="A40">
        <v>39</v>
      </c>
      <c r="B40" t="s">
        <v>21</v>
      </c>
      <c r="C40" t="s">
        <v>28</v>
      </c>
      <c r="D40" t="s">
        <v>10</v>
      </c>
      <c r="E40" t="s">
        <v>24</v>
      </c>
      <c r="F40" t="s">
        <v>18</v>
      </c>
      <c r="G40" t="s">
        <v>19</v>
      </c>
      <c r="H40" t="s">
        <v>26</v>
      </c>
    </row>
    <row r="41" spans="1:8" x14ac:dyDescent="0.3">
      <c r="A41">
        <v>40</v>
      </c>
      <c r="B41" t="s">
        <v>27</v>
      </c>
      <c r="C41" t="s">
        <v>9</v>
      </c>
      <c r="D41" t="s">
        <v>10</v>
      </c>
      <c r="E41" t="s">
        <v>17</v>
      </c>
      <c r="F41" t="s">
        <v>39</v>
      </c>
      <c r="G41" t="s">
        <v>19</v>
      </c>
      <c r="H41" t="s">
        <v>35</v>
      </c>
    </row>
    <row r="42" spans="1:8" x14ac:dyDescent="0.3">
      <c r="A42">
        <v>41</v>
      </c>
      <c r="B42" t="s">
        <v>8</v>
      </c>
      <c r="C42" t="s">
        <v>16</v>
      </c>
      <c r="D42" t="s">
        <v>30</v>
      </c>
      <c r="E42" t="s">
        <v>17</v>
      </c>
      <c r="F42" t="s">
        <v>12</v>
      </c>
      <c r="G42" t="s">
        <v>19</v>
      </c>
      <c r="H42" t="s">
        <v>20</v>
      </c>
    </row>
    <row r="43" spans="1:8" x14ac:dyDescent="0.3">
      <c r="A43">
        <v>42</v>
      </c>
      <c r="B43" t="s">
        <v>21</v>
      </c>
      <c r="C43" t="s">
        <v>22</v>
      </c>
      <c r="D43" t="s">
        <v>30</v>
      </c>
      <c r="E43" t="s">
        <v>17</v>
      </c>
      <c r="F43" t="s">
        <v>39</v>
      </c>
      <c r="G43" t="s">
        <v>19</v>
      </c>
      <c r="H43" t="s">
        <v>33</v>
      </c>
    </row>
    <row r="44" spans="1:8" x14ac:dyDescent="0.3">
      <c r="A44">
        <v>43</v>
      </c>
      <c r="B44" t="s">
        <v>21</v>
      </c>
      <c r="C44" t="s">
        <v>28</v>
      </c>
      <c r="D44" t="s">
        <v>30</v>
      </c>
      <c r="E44" t="s">
        <v>31</v>
      </c>
      <c r="F44" t="s">
        <v>18</v>
      </c>
      <c r="G44" t="s">
        <v>19</v>
      </c>
      <c r="H44" t="s">
        <v>33</v>
      </c>
    </row>
    <row r="45" spans="1:8" x14ac:dyDescent="0.3">
      <c r="A45">
        <v>44</v>
      </c>
      <c r="B45" t="s">
        <v>21</v>
      </c>
      <c r="C45" t="s">
        <v>36</v>
      </c>
      <c r="D45" t="s">
        <v>30</v>
      </c>
      <c r="E45" t="s">
        <v>17</v>
      </c>
      <c r="F45" t="s">
        <v>39</v>
      </c>
      <c r="G45" t="s">
        <v>19</v>
      </c>
      <c r="H45" t="s">
        <v>14</v>
      </c>
    </row>
    <row r="46" spans="1:8" x14ac:dyDescent="0.3">
      <c r="A46">
        <v>45</v>
      </c>
      <c r="B46" t="s">
        <v>21</v>
      </c>
      <c r="C46" t="s">
        <v>28</v>
      </c>
      <c r="D46" t="s">
        <v>23</v>
      </c>
      <c r="E46" t="s">
        <v>17</v>
      </c>
      <c r="F46" t="s">
        <v>32</v>
      </c>
      <c r="G46" t="s">
        <v>19</v>
      </c>
      <c r="H46" t="s">
        <v>20</v>
      </c>
    </row>
    <row r="47" spans="1:8" x14ac:dyDescent="0.3">
      <c r="A47">
        <v>46</v>
      </c>
      <c r="B47" t="s">
        <v>21</v>
      </c>
      <c r="C47" t="s">
        <v>28</v>
      </c>
      <c r="D47" t="s">
        <v>30</v>
      </c>
      <c r="E47" t="s">
        <v>17</v>
      </c>
      <c r="F47" t="s">
        <v>12</v>
      </c>
      <c r="G47" t="s">
        <v>19</v>
      </c>
      <c r="H47" t="s">
        <v>35</v>
      </c>
    </row>
    <row r="48" spans="1:8" x14ac:dyDescent="0.3">
      <c r="A48">
        <v>47</v>
      </c>
      <c r="B48" t="s">
        <v>8</v>
      </c>
      <c r="C48" t="s">
        <v>36</v>
      </c>
      <c r="D48" t="s">
        <v>23</v>
      </c>
      <c r="E48" t="s">
        <v>24</v>
      </c>
      <c r="F48" t="s">
        <v>18</v>
      </c>
      <c r="G48" t="s">
        <v>19</v>
      </c>
      <c r="H48" t="s">
        <v>20</v>
      </c>
    </row>
    <row r="49" spans="1:8" x14ac:dyDescent="0.3">
      <c r="A49">
        <v>48</v>
      </c>
      <c r="B49" t="s">
        <v>15</v>
      </c>
      <c r="C49" t="s">
        <v>22</v>
      </c>
      <c r="D49" t="s">
        <v>10</v>
      </c>
      <c r="E49" t="s">
        <v>17</v>
      </c>
      <c r="F49" t="s">
        <v>18</v>
      </c>
      <c r="G49" t="s">
        <v>19</v>
      </c>
      <c r="H49" t="s">
        <v>20</v>
      </c>
    </row>
    <row r="50" spans="1:8" x14ac:dyDescent="0.3">
      <c r="A50">
        <v>49</v>
      </c>
      <c r="B50" t="s">
        <v>27</v>
      </c>
      <c r="C50" t="s">
        <v>28</v>
      </c>
      <c r="D50" t="s">
        <v>34</v>
      </c>
      <c r="E50" t="s">
        <v>24</v>
      </c>
      <c r="F50" t="s">
        <v>32</v>
      </c>
      <c r="G50" t="s">
        <v>19</v>
      </c>
      <c r="H50" t="s">
        <v>33</v>
      </c>
    </row>
    <row r="51" spans="1:8" x14ac:dyDescent="0.3">
      <c r="A51">
        <v>50</v>
      </c>
      <c r="B51" t="s">
        <v>27</v>
      </c>
      <c r="C51" t="s">
        <v>16</v>
      </c>
      <c r="D51" t="s">
        <v>29</v>
      </c>
      <c r="E51" t="s">
        <v>24</v>
      </c>
      <c r="F51" t="s">
        <v>37</v>
      </c>
      <c r="G51" t="s">
        <v>19</v>
      </c>
      <c r="H51" t="s">
        <v>20</v>
      </c>
    </row>
    <row r="52" spans="1:8" x14ac:dyDescent="0.3">
      <c r="A52">
        <v>51</v>
      </c>
      <c r="B52" t="s">
        <v>21</v>
      </c>
      <c r="C52" t="s">
        <v>28</v>
      </c>
      <c r="D52" t="s">
        <v>30</v>
      </c>
      <c r="E52" t="s">
        <v>24</v>
      </c>
      <c r="F52" t="s">
        <v>39</v>
      </c>
      <c r="G52" t="s">
        <v>19</v>
      </c>
      <c r="H52" t="s">
        <v>20</v>
      </c>
    </row>
    <row r="53" spans="1:8" x14ac:dyDescent="0.3">
      <c r="A53">
        <v>52</v>
      </c>
      <c r="B53" t="s">
        <v>27</v>
      </c>
      <c r="C53" t="s">
        <v>28</v>
      </c>
      <c r="D53" t="s">
        <v>10</v>
      </c>
      <c r="E53" t="s">
        <v>24</v>
      </c>
      <c r="F53" t="s">
        <v>18</v>
      </c>
      <c r="G53" t="s">
        <v>13</v>
      </c>
      <c r="H53" t="s">
        <v>35</v>
      </c>
    </row>
    <row r="54" spans="1:8" x14ac:dyDescent="0.3">
      <c r="A54">
        <v>53</v>
      </c>
      <c r="B54" t="s">
        <v>21</v>
      </c>
      <c r="C54" t="s">
        <v>28</v>
      </c>
      <c r="D54" t="s">
        <v>34</v>
      </c>
      <c r="E54" t="s">
        <v>17</v>
      </c>
      <c r="F54" t="s">
        <v>12</v>
      </c>
      <c r="G54" t="s">
        <v>19</v>
      </c>
      <c r="H54" t="s">
        <v>20</v>
      </c>
    </row>
    <row r="55" spans="1:8" x14ac:dyDescent="0.3">
      <c r="A55">
        <v>54</v>
      </c>
      <c r="B55" t="s">
        <v>21</v>
      </c>
      <c r="C55" t="s">
        <v>22</v>
      </c>
      <c r="D55" t="s">
        <v>29</v>
      </c>
      <c r="E55" t="s">
        <v>31</v>
      </c>
      <c r="F55" t="s">
        <v>32</v>
      </c>
      <c r="G55" t="s">
        <v>19</v>
      </c>
      <c r="H55" t="s">
        <v>14</v>
      </c>
    </row>
    <row r="56" spans="1:8" x14ac:dyDescent="0.3">
      <c r="A56">
        <v>55</v>
      </c>
      <c r="B56" t="s">
        <v>21</v>
      </c>
      <c r="C56" t="s">
        <v>28</v>
      </c>
      <c r="D56" t="s">
        <v>29</v>
      </c>
      <c r="E56" t="s">
        <v>38</v>
      </c>
      <c r="F56" t="s">
        <v>18</v>
      </c>
      <c r="G56" t="s">
        <v>19</v>
      </c>
      <c r="H56" t="s">
        <v>33</v>
      </c>
    </row>
    <row r="57" spans="1:8" x14ac:dyDescent="0.3">
      <c r="A57">
        <v>56</v>
      </c>
      <c r="B57" t="s">
        <v>21</v>
      </c>
      <c r="C57" t="s">
        <v>36</v>
      </c>
      <c r="D57" t="s">
        <v>10</v>
      </c>
      <c r="E57" t="s">
        <v>24</v>
      </c>
      <c r="F57" t="s">
        <v>32</v>
      </c>
      <c r="G57" t="s">
        <v>19</v>
      </c>
      <c r="H57" t="s">
        <v>33</v>
      </c>
    </row>
    <row r="58" spans="1:8" x14ac:dyDescent="0.3">
      <c r="A58">
        <v>57</v>
      </c>
      <c r="B58" t="s">
        <v>21</v>
      </c>
      <c r="C58" t="s">
        <v>28</v>
      </c>
      <c r="D58" t="s">
        <v>30</v>
      </c>
      <c r="E58" t="s">
        <v>24</v>
      </c>
      <c r="F58" t="s">
        <v>12</v>
      </c>
      <c r="G58" t="s">
        <v>13</v>
      </c>
      <c r="H58" t="s">
        <v>20</v>
      </c>
    </row>
    <row r="59" spans="1:8" x14ac:dyDescent="0.3">
      <c r="A59">
        <v>58</v>
      </c>
      <c r="B59" t="s">
        <v>8</v>
      </c>
      <c r="C59" t="s">
        <v>22</v>
      </c>
      <c r="D59" t="s">
        <v>34</v>
      </c>
      <c r="E59" t="s">
        <v>24</v>
      </c>
      <c r="F59" t="s">
        <v>37</v>
      </c>
      <c r="G59" t="s">
        <v>19</v>
      </c>
      <c r="H59" t="s">
        <v>20</v>
      </c>
    </row>
    <row r="60" spans="1:8" x14ac:dyDescent="0.3">
      <c r="A60">
        <v>59</v>
      </c>
      <c r="B60" t="s">
        <v>27</v>
      </c>
      <c r="C60" t="s">
        <v>28</v>
      </c>
      <c r="D60" t="s">
        <v>10</v>
      </c>
      <c r="E60" t="s">
        <v>24</v>
      </c>
      <c r="F60" t="s">
        <v>12</v>
      </c>
      <c r="G60" t="s">
        <v>19</v>
      </c>
      <c r="H60" t="s">
        <v>20</v>
      </c>
    </row>
    <row r="61" spans="1:8" x14ac:dyDescent="0.3">
      <c r="A61">
        <v>60</v>
      </c>
      <c r="B61" t="s">
        <v>8</v>
      </c>
      <c r="C61" t="s">
        <v>28</v>
      </c>
      <c r="D61" t="s">
        <v>10</v>
      </c>
      <c r="E61" t="s">
        <v>24</v>
      </c>
      <c r="F61" t="s">
        <v>18</v>
      </c>
      <c r="G61" t="s">
        <v>19</v>
      </c>
      <c r="H61" t="s">
        <v>14</v>
      </c>
    </row>
    <row r="62" spans="1:8" x14ac:dyDescent="0.3">
      <c r="A62">
        <v>61</v>
      </c>
      <c r="B62" t="s">
        <v>15</v>
      </c>
      <c r="C62" t="s">
        <v>16</v>
      </c>
      <c r="D62" t="s">
        <v>34</v>
      </c>
      <c r="E62" t="s">
        <v>24</v>
      </c>
      <c r="F62" t="s">
        <v>18</v>
      </c>
      <c r="G62" t="s">
        <v>19</v>
      </c>
      <c r="H62" t="s">
        <v>20</v>
      </c>
    </row>
    <row r="63" spans="1:8" x14ac:dyDescent="0.3">
      <c r="A63">
        <v>62</v>
      </c>
      <c r="B63" t="s">
        <v>21</v>
      </c>
      <c r="C63" t="s">
        <v>28</v>
      </c>
      <c r="D63" t="s">
        <v>29</v>
      </c>
      <c r="E63" t="s">
        <v>31</v>
      </c>
      <c r="F63" t="s">
        <v>12</v>
      </c>
      <c r="G63" t="s">
        <v>19</v>
      </c>
      <c r="H63" t="s">
        <v>20</v>
      </c>
    </row>
    <row r="64" spans="1:8" x14ac:dyDescent="0.3">
      <c r="A64">
        <v>63</v>
      </c>
      <c r="B64" t="s">
        <v>21</v>
      </c>
      <c r="C64" t="s">
        <v>22</v>
      </c>
      <c r="D64" t="s">
        <v>30</v>
      </c>
      <c r="E64" t="s">
        <v>17</v>
      </c>
      <c r="F64" t="s">
        <v>39</v>
      </c>
      <c r="G64" t="s">
        <v>19</v>
      </c>
      <c r="H64" t="s">
        <v>20</v>
      </c>
    </row>
    <row r="65" spans="1:8" x14ac:dyDescent="0.3">
      <c r="A65">
        <v>64</v>
      </c>
      <c r="B65" t="s">
        <v>8</v>
      </c>
      <c r="C65" t="s">
        <v>22</v>
      </c>
      <c r="D65" t="s">
        <v>30</v>
      </c>
      <c r="E65" t="s">
        <v>24</v>
      </c>
      <c r="F65" t="s">
        <v>18</v>
      </c>
      <c r="G65" t="s">
        <v>19</v>
      </c>
      <c r="H65" t="s">
        <v>33</v>
      </c>
    </row>
    <row r="66" spans="1:8" x14ac:dyDescent="0.3">
      <c r="A66">
        <v>65</v>
      </c>
      <c r="B66" t="s">
        <v>8</v>
      </c>
      <c r="C66" t="s">
        <v>9</v>
      </c>
      <c r="D66" t="s">
        <v>29</v>
      </c>
      <c r="E66" t="s">
        <v>17</v>
      </c>
      <c r="F66" t="s">
        <v>39</v>
      </c>
      <c r="G66" t="s">
        <v>19</v>
      </c>
      <c r="H66" t="s">
        <v>20</v>
      </c>
    </row>
    <row r="67" spans="1:8" x14ac:dyDescent="0.3">
      <c r="A67">
        <v>66</v>
      </c>
      <c r="B67" t="s">
        <v>8</v>
      </c>
      <c r="C67" t="s">
        <v>9</v>
      </c>
      <c r="D67" t="s">
        <v>10</v>
      </c>
      <c r="E67" t="s">
        <v>24</v>
      </c>
      <c r="F67" t="s">
        <v>18</v>
      </c>
      <c r="G67" t="s">
        <v>19</v>
      </c>
      <c r="H67" t="s">
        <v>35</v>
      </c>
    </row>
    <row r="68" spans="1:8" x14ac:dyDescent="0.3">
      <c r="A68">
        <v>67</v>
      </c>
      <c r="B68" t="s">
        <v>21</v>
      </c>
      <c r="C68" t="s">
        <v>16</v>
      </c>
      <c r="D68" t="s">
        <v>10</v>
      </c>
      <c r="E68" t="s">
        <v>24</v>
      </c>
      <c r="F68" t="s">
        <v>32</v>
      </c>
      <c r="G68" t="s">
        <v>19</v>
      </c>
      <c r="H68" t="s">
        <v>20</v>
      </c>
    </row>
    <row r="69" spans="1:8" x14ac:dyDescent="0.3">
      <c r="A69">
        <v>68</v>
      </c>
      <c r="B69" t="s">
        <v>27</v>
      </c>
      <c r="C69" t="s">
        <v>22</v>
      </c>
      <c r="D69" t="s">
        <v>34</v>
      </c>
      <c r="E69" t="s">
        <v>31</v>
      </c>
      <c r="F69" t="s">
        <v>12</v>
      </c>
      <c r="G69" t="s">
        <v>19</v>
      </c>
      <c r="H69" t="s">
        <v>33</v>
      </c>
    </row>
    <row r="70" spans="1:8" x14ac:dyDescent="0.3">
      <c r="A70">
        <v>69</v>
      </c>
      <c r="B70" t="s">
        <v>27</v>
      </c>
      <c r="C70" t="s">
        <v>9</v>
      </c>
      <c r="D70" t="s">
        <v>23</v>
      </c>
      <c r="E70" t="s">
        <v>24</v>
      </c>
      <c r="F70" t="s">
        <v>18</v>
      </c>
      <c r="G70" t="s">
        <v>19</v>
      </c>
      <c r="H70" t="s">
        <v>20</v>
      </c>
    </row>
    <row r="71" spans="1:8" x14ac:dyDescent="0.3">
      <c r="A71">
        <v>70</v>
      </c>
      <c r="B71" t="s">
        <v>27</v>
      </c>
      <c r="C71" t="s">
        <v>22</v>
      </c>
      <c r="D71" t="s">
        <v>10</v>
      </c>
      <c r="E71" t="s">
        <v>24</v>
      </c>
      <c r="F71" t="s">
        <v>39</v>
      </c>
      <c r="G71" t="s">
        <v>19</v>
      </c>
      <c r="H71" t="s">
        <v>14</v>
      </c>
    </row>
    <row r="72" spans="1:8" x14ac:dyDescent="0.3">
      <c r="A72">
        <v>71</v>
      </c>
      <c r="B72" t="s">
        <v>21</v>
      </c>
      <c r="C72" t="s">
        <v>16</v>
      </c>
      <c r="D72" t="s">
        <v>30</v>
      </c>
      <c r="E72" t="s">
        <v>17</v>
      </c>
      <c r="F72" t="s">
        <v>32</v>
      </c>
      <c r="G72" t="s">
        <v>19</v>
      </c>
      <c r="H72" t="s">
        <v>20</v>
      </c>
    </row>
    <row r="73" spans="1:8" x14ac:dyDescent="0.3">
      <c r="A73">
        <v>72</v>
      </c>
      <c r="B73" t="s">
        <v>8</v>
      </c>
      <c r="C73" t="s">
        <v>28</v>
      </c>
      <c r="D73" t="s">
        <v>30</v>
      </c>
      <c r="E73" t="s">
        <v>24</v>
      </c>
      <c r="F73" t="s">
        <v>12</v>
      </c>
      <c r="G73" t="s">
        <v>19</v>
      </c>
      <c r="H73" t="s">
        <v>14</v>
      </c>
    </row>
    <row r="74" spans="1:8" x14ac:dyDescent="0.3">
      <c r="A74">
        <v>73</v>
      </c>
      <c r="B74" t="s">
        <v>21</v>
      </c>
      <c r="C74" t="s">
        <v>28</v>
      </c>
      <c r="D74" t="s">
        <v>34</v>
      </c>
      <c r="E74" t="s">
        <v>31</v>
      </c>
      <c r="F74" t="s">
        <v>12</v>
      </c>
      <c r="G74" t="s">
        <v>19</v>
      </c>
      <c r="H74" t="s">
        <v>20</v>
      </c>
    </row>
    <row r="75" spans="1:8" x14ac:dyDescent="0.3">
      <c r="A75">
        <v>74</v>
      </c>
      <c r="B75" t="s">
        <v>21</v>
      </c>
      <c r="C75" t="s">
        <v>22</v>
      </c>
      <c r="D75" t="s">
        <v>29</v>
      </c>
      <c r="E75" t="s">
        <v>38</v>
      </c>
      <c r="F75" t="s">
        <v>12</v>
      </c>
      <c r="G75" t="s">
        <v>19</v>
      </c>
      <c r="H75" t="s">
        <v>33</v>
      </c>
    </row>
    <row r="76" spans="1:8" x14ac:dyDescent="0.3">
      <c r="A76">
        <v>75</v>
      </c>
      <c r="B76" t="s">
        <v>27</v>
      </c>
      <c r="C76" t="s">
        <v>28</v>
      </c>
      <c r="D76" t="s">
        <v>30</v>
      </c>
      <c r="E76" t="s">
        <v>31</v>
      </c>
      <c r="F76" t="s">
        <v>32</v>
      </c>
      <c r="G76" t="s">
        <v>19</v>
      </c>
      <c r="H76" t="s">
        <v>20</v>
      </c>
    </row>
    <row r="77" spans="1:8" x14ac:dyDescent="0.3">
      <c r="A77">
        <v>76</v>
      </c>
      <c r="B77" t="s">
        <v>27</v>
      </c>
      <c r="C77" t="s">
        <v>22</v>
      </c>
      <c r="D77" t="s">
        <v>29</v>
      </c>
      <c r="E77" t="s">
        <v>24</v>
      </c>
      <c r="F77" t="s">
        <v>12</v>
      </c>
      <c r="G77" t="s">
        <v>19</v>
      </c>
      <c r="H77" t="s">
        <v>33</v>
      </c>
    </row>
    <row r="78" spans="1:8" x14ac:dyDescent="0.3">
      <c r="A78">
        <v>77</v>
      </c>
      <c r="B78" t="s">
        <v>27</v>
      </c>
      <c r="C78" t="s">
        <v>9</v>
      </c>
      <c r="D78" t="s">
        <v>29</v>
      </c>
      <c r="E78" t="s">
        <v>17</v>
      </c>
      <c r="F78" t="s">
        <v>18</v>
      </c>
      <c r="G78" t="s">
        <v>19</v>
      </c>
      <c r="H78" t="s">
        <v>35</v>
      </c>
    </row>
    <row r="79" spans="1:8" x14ac:dyDescent="0.3">
      <c r="A79">
        <v>78</v>
      </c>
      <c r="B79" t="s">
        <v>27</v>
      </c>
      <c r="C79" t="s">
        <v>28</v>
      </c>
      <c r="D79" t="s">
        <v>23</v>
      </c>
      <c r="E79" t="s">
        <v>38</v>
      </c>
      <c r="F79" t="s">
        <v>12</v>
      </c>
      <c r="G79" t="s">
        <v>19</v>
      </c>
      <c r="H79" t="s">
        <v>33</v>
      </c>
    </row>
    <row r="80" spans="1:8" x14ac:dyDescent="0.3">
      <c r="A80">
        <v>79</v>
      </c>
      <c r="B80" t="s">
        <v>8</v>
      </c>
      <c r="C80" t="s">
        <v>22</v>
      </c>
      <c r="D80" t="s">
        <v>23</v>
      </c>
      <c r="E80" t="s">
        <v>24</v>
      </c>
      <c r="F80" t="s">
        <v>32</v>
      </c>
      <c r="G80" t="s">
        <v>19</v>
      </c>
      <c r="H80" t="s">
        <v>20</v>
      </c>
    </row>
    <row r="81" spans="1:8" x14ac:dyDescent="0.3">
      <c r="A81">
        <v>80</v>
      </c>
      <c r="B81" t="s">
        <v>21</v>
      </c>
      <c r="C81" t="s">
        <v>22</v>
      </c>
      <c r="D81" t="s">
        <v>10</v>
      </c>
      <c r="E81" t="s">
        <v>24</v>
      </c>
      <c r="F81" t="s">
        <v>18</v>
      </c>
      <c r="G81" t="s">
        <v>13</v>
      </c>
      <c r="H81" t="s">
        <v>35</v>
      </c>
    </row>
    <row r="82" spans="1:8" x14ac:dyDescent="0.3">
      <c r="A82">
        <v>81</v>
      </c>
      <c r="B82" t="s">
        <v>21</v>
      </c>
      <c r="C82" t="s">
        <v>28</v>
      </c>
      <c r="D82" t="s">
        <v>29</v>
      </c>
      <c r="E82" t="s">
        <v>38</v>
      </c>
      <c r="F82" t="s">
        <v>37</v>
      </c>
      <c r="G82" t="s">
        <v>25</v>
      </c>
      <c r="H82" t="s">
        <v>33</v>
      </c>
    </row>
    <row r="83" spans="1:8" x14ac:dyDescent="0.3">
      <c r="A83">
        <v>82</v>
      </c>
      <c r="B83" t="s">
        <v>8</v>
      </c>
      <c r="C83" t="s">
        <v>28</v>
      </c>
      <c r="D83" t="s">
        <v>10</v>
      </c>
      <c r="E83" t="s">
        <v>24</v>
      </c>
      <c r="F83" t="s">
        <v>37</v>
      </c>
      <c r="G83" t="s">
        <v>19</v>
      </c>
      <c r="H83" t="s">
        <v>20</v>
      </c>
    </row>
    <row r="84" spans="1:8" x14ac:dyDescent="0.3">
      <c r="A84">
        <v>83</v>
      </c>
      <c r="B84" t="s">
        <v>15</v>
      </c>
      <c r="C84" t="s">
        <v>9</v>
      </c>
      <c r="D84" t="s">
        <v>29</v>
      </c>
      <c r="E84" t="s">
        <v>24</v>
      </c>
      <c r="F84" t="s">
        <v>18</v>
      </c>
      <c r="G84" t="s">
        <v>19</v>
      </c>
      <c r="H84" t="s">
        <v>35</v>
      </c>
    </row>
    <row r="85" spans="1:8" x14ac:dyDescent="0.3">
      <c r="A85">
        <v>84</v>
      </c>
      <c r="B85" t="s">
        <v>27</v>
      </c>
      <c r="C85" t="s">
        <v>28</v>
      </c>
      <c r="D85" t="s">
        <v>30</v>
      </c>
      <c r="E85" t="s">
        <v>11</v>
      </c>
      <c r="F85" t="s">
        <v>12</v>
      </c>
      <c r="G85" t="s">
        <v>19</v>
      </c>
      <c r="H85" t="s">
        <v>14</v>
      </c>
    </row>
    <row r="86" spans="1:8" x14ac:dyDescent="0.3">
      <c r="A86">
        <v>85</v>
      </c>
      <c r="B86" t="s">
        <v>27</v>
      </c>
      <c r="C86" t="s">
        <v>22</v>
      </c>
      <c r="D86" t="s">
        <v>10</v>
      </c>
      <c r="E86" t="s">
        <v>24</v>
      </c>
      <c r="F86" t="s">
        <v>32</v>
      </c>
      <c r="G86" t="s">
        <v>19</v>
      </c>
      <c r="H86" t="s">
        <v>14</v>
      </c>
    </row>
    <row r="87" spans="1:8" x14ac:dyDescent="0.3">
      <c r="A87">
        <v>86</v>
      </c>
      <c r="B87" t="s">
        <v>27</v>
      </c>
      <c r="C87" t="s">
        <v>22</v>
      </c>
      <c r="D87" t="s">
        <v>23</v>
      </c>
      <c r="E87" t="s">
        <v>31</v>
      </c>
      <c r="F87" t="s">
        <v>12</v>
      </c>
      <c r="G87" t="s">
        <v>19</v>
      </c>
      <c r="H87" t="s">
        <v>14</v>
      </c>
    </row>
    <row r="88" spans="1:8" x14ac:dyDescent="0.3">
      <c r="A88">
        <v>87</v>
      </c>
      <c r="B88" t="s">
        <v>15</v>
      </c>
      <c r="C88" t="s">
        <v>36</v>
      </c>
      <c r="D88" t="s">
        <v>10</v>
      </c>
      <c r="E88" t="s">
        <v>24</v>
      </c>
      <c r="F88" t="s">
        <v>32</v>
      </c>
      <c r="G88" t="s">
        <v>19</v>
      </c>
      <c r="H88" t="s">
        <v>33</v>
      </c>
    </row>
    <row r="89" spans="1:8" x14ac:dyDescent="0.3">
      <c r="A89">
        <v>88</v>
      </c>
      <c r="B89" t="s">
        <v>8</v>
      </c>
      <c r="C89" t="s">
        <v>28</v>
      </c>
      <c r="D89" t="s">
        <v>10</v>
      </c>
      <c r="E89" t="s">
        <v>24</v>
      </c>
      <c r="F89" t="s">
        <v>12</v>
      </c>
      <c r="G89" t="s">
        <v>19</v>
      </c>
      <c r="H89" t="s">
        <v>14</v>
      </c>
    </row>
    <row r="90" spans="1:8" x14ac:dyDescent="0.3">
      <c r="A90">
        <v>89</v>
      </c>
      <c r="B90" t="s">
        <v>8</v>
      </c>
      <c r="C90" t="s">
        <v>22</v>
      </c>
      <c r="D90" t="s">
        <v>10</v>
      </c>
      <c r="E90" t="s">
        <v>38</v>
      </c>
      <c r="F90" t="s">
        <v>12</v>
      </c>
      <c r="G90" t="s">
        <v>19</v>
      </c>
      <c r="H90" t="s">
        <v>20</v>
      </c>
    </row>
    <row r="91" spans="1:8" x14ac:dyDescent="0.3">
      <c r="A91">
        <v>90</v>
      </c>
      <c r="B91" t="s">
        <v>15</v>
      </c>
      <c r="C91" t="s">
        <v>28</v>
      </c>
      <c r="D91" t="s">
        <v>29</v>
      </c>
      <c r="E91" t="s">
        <v>17</v>
      </c>
      <c r="F91" t="s">
        <v>37</v>
      </c>
      <c r="G91" t="s">
        <v>19</v>
      </c>
      <c r="H91" t="s">
        <v>26</v>
      </c>
    </row>
    <row r="92" spans="1:8" x14ac:dyDescent="0.3">
      <c r="A92">
        <v>91</v>
      </c>
      <c r="B92" t="s">
        <v>21</v>
      </c>
      <c r="C92" t="s">
        <v>22</v>
      </c>
      <c r="D92" t="s">
        <v>34</v>
      </c>
      <c r="E92" t="s">
        <v>24</v>
      </c>
      <c r="F92" t="s">
        <v>32</v>
      </c>
      <c r="G92" t="s">
        <v>13</v>
      </c>
      <c r="H92" t="s">
        <v>33</v>
      </c>
    </row>
    <row r="93" spans="1:8" x14ac:dyDescent="0.3">
      <c r="A93">
        <v>92</v>
      </c>
      <c r="B93" t="s">
        <v>21</v>
      </c>
      <c r="C93" t="s">
        <v>28</v>
      </c>
      <c r="D93" t="s">
        <v>34</v>
      </c>
      <c r="E93" t="s">
        <v>24</v>
      </c>
      <c r="F93" t="s">
        <v>37</v>
      </c>
      <c r="G93" t="s">
        <v>19</v>
      </c>
      <c r="H93" t="s">
        <v>20</v>
      </c>
    </row>
    <row r="94" spans="1:8" x14ac:dyDescent="0.3">
      <c r="A94">
        <v>93</v>
      </c>
      <c r="B94" t="s">
        <v>21</v>
      </c>
      <c r="C94" t="s">
        <v>28</v>
      </c>
      <c r="D94" t="s">
        <v>10</v>
      </c>
      <c r="E94" t="s">
        <v>24</v>
      </c>
      <c r="F94" t="s">
        <v>12</v>
      </c>
      <c r="G94" t="s">
        <v>19</v>
      </c>
      <c r="H94" t="s">
        <v>26</v>
      </c>
    </row>
    <row r="95" spans="1:8" x14ac:dyDescent="0.3">
      <c r="A95">
        <v>94</v>
      </c>
      <c r="B95" t="s">
        <v>21</v>
      </c>
      <c r="C95" t="s">
        <v>28</v>
      </c>
      <c r="D95" t="s">
        <v>10</v>
      </c>
      <c r="E95" t="s">
        <v>11</v>
      </c>
      <c r="F95" t="s">
        <v>18</v>
      </c>
      <c r="G95" t="s">
        <v>19</v>
      </c>
      <c r="H95" t="s">
        <v>14</v>
      </c>
    </row>
    <row r="96" spans="1:8" x14ac:dyDescent="0.3">
      <c r="A96">
        <v>95</v>
      </c>
      <c r="B96" t="s">
        <v>21</v>
      </c>
      <c r="C96" t="s">
        <v>28</v>
      </c>
      <c r="D96" t="s">
        <v>10</v>
      </c>
      <c r="E96" t="s">
        <v>17</v>
      </c>
      <c r="F96" t="s">
        <v>32</v>
      </c>
      <c r="G96" t="s">
        <v>13</v>
      </c>
      <c r="H96" t="s">
        <v>26</v>
      </c>
    </row>
    <row r="97" spans="1:8" x14ac:dyDescent="0.3">
      <c r="A97">
        <v>96</v>
      </c>
      <c r="B97" t="s">
        <v>27</v>
      </c>
      <c r="C97" t="s">
        <v>16</v>
      </c>
      <c r="D97" t="s">
        <v>10</v>
      </c>
      <c r="E97" t="s">
        <v>11</v>
      </c>
      <c r="F97" t="s">
        <v>37</v>
      </c>
      <c r="G97" t="s">
        <v>19</v>
      </c>
      <c r="H97" t="s">
        <v>20</v>
      </c>
    </row>
    <row r="98" spans="1:8" x14ac:dyDescent="0.3">
      <c r="A98">
        <v>97</v>
      </c>
      <c r="B98" t="s">
        <v>21</v>
      </c>
      <c r="C98" t="s">
        <v>28</v>
      </c>
      <c r="D98" t="s">
        <v>10</v>
      </c>
      <c r="E98" t="s">
        <v>38</v>
      </c>
      <c r="F98" t="s">
        <v>18</v>
      </c>
      <c r="G98" t="s">
        <v>19</v>
      </c>
      <c r="H98" t="s">
        <v>20</v>
      </c>
    </row>
    <row r="99" spans="1:8" x14ac:dyDescent="0.3">
      <c r="A99">
        <v>98</v>
      </c>
      <c r="B99" t="s">
        <v>8</v>
      </c>
      <c r="C99" t="s">
        <v>28</v>
      </c>
      <c r="D99" t="s">
        <v>30</v>
      </c>
      <c r="E99" t="s">
        <v>17</v>
      </c>
      <c r="F99" t="s">
        <v>39</v>
      </c>
      <c r="G99" t="s">
        <v>19</v>
      </c>
      <c r="H99" t="s">
        <v>14</v>
      </c>
    </row>
    <row r="100" spans="1:8" x14ac:dyDescent="0.3">
      <c r="A100">
        <v>99</v>
      </c>
      <c r="B100" t="s">
        <v>8</v>
      </c>
      <c r="C100" t="s">
        <v>28</v>
      </c>
      <c r="D100" t="s">
        <v>29</v>
      </c>
      <c r="E100" t="s">
        <v>24</v>
      </c>
      <c r="F100" t="s">
        <v>32</v>
      </c>
      <c r="G100" t="s">
        <v>19</v>
      </c>
      <c r="H100" t="s">
        <v>20</v>
      </c>
    </row>
    <row r="101" spans="1:8" x14ac:dyDescent="0.3">
      <c r="A101">
        <v>100</v>
      </c>
      <c r="B101" t="s">
        <v>21</v>
      </c>
      <c r="C101" t="s">
        <v>22</v>
      </c>
      <c r="D101" t="s">
        <v>30</v>
      </c>
      <c r="E101" t="s">
        <v>11</v>
      </c>
      <c r="F101" t="s">
        <v>12</v>
      </c>
      <c r="G101" t="s">
        <v>19</v>
      </c>
      <c r="H10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69277-82BF-4A73-8DA6-847109921964}">
  <dimension ref="A1:H89"/>
  <sheetViews>
    <sheetView tabSelected="1" workbookViewId="0">
      <selection activeCell="E90" sqref="E90"/>
    </sheetView>
  </sheetViews>
  <sheetFormatPr baseColWidth="10" defaultRowHeight="14.4" x14ac:dyDescent="0.3"/>
  <cols>
    <col min="1" max="1" width="22.5546875" customWidth="1"/>
    <col min="2" max="2" width="16.109375" customWidth="1"/>
  </cols>
  <sheetData>
    <row r="1" spans="1:7" x14ac:dyDescent="0.3">
      <c r="A1" s="5" t="s">
        <v>2</v>
      </c>
      <c r="B1" s="6" t="s">
        <v>40</v>
      </c>
      <c r="C1" s="7"/>
      <c r="D1" s="7"/>
      <c r="E1" s="7"/>
      <c r="F1" s="7"/>
      <c r="G1" s="8"/>
    </row>
    <row r="2" spans="1:7" x14ac:dyDescent="0.3">
      <c r="A2" s="9" t="s">
        <v>28</v>
      </c>
      <c r="B2" s="3">
        <f>COUNTIF(respuestas_simuladas_redes_soci!C:C,Analisis!A2)</f>
        <v>42</v>
      </c>
      <c r="C2" s="2"/>
      <c r="D2" s="2"/>
      <c r="E2" s="2"/>
      <c r="F2" s="2"/>
      <c r="G2" s="10"/>
    </row>
    <row r="3" spans="1:7" x14ac:dyDescent="0.3">
      <c r="A3" s="9" t="s">
        <v>22</v>
      </c>
      <c r="B3" s="3">
        <f>COUNTIF(respuestas_simuladas_redes_soci!C:C,Analisis!A3)</f>
        <v>32</v>
      </c>
      <c r="C3" s="2"/>
      <c r="D3" s="2"/>
      <c r="E3" s="2"/>
      <c r="F3" s="2"/>
      <c r="G3" s="10"/>
    </row>
    <row r="4" spans="1:7" x14ac:dyDescent="0.3">
      <c r="A4" s="9" t="s">
        <v>16</v>
      </c>
      <c r="B4" s="3">
        <f>COUNTIF(respuestas_simuladas_redes_soci!C:C,Analisis!A4)</f>
        <v>9</v>
      </c>
      <c r="C4" s="2"/>
      <c r="D4" s="2"/>
      <c r="E4" s="2"/>
      <c r="F4" s="2"/>
      <c r="G4" s="10"/>
    </row>
    <row r="5" spans="1:7" x14ac:dyDescent="0.3">
      <c r="A5" s="9" t="s">
        <v>36</v>
      </c>
      <c r="B5" s="3">
        <f>COUNTIF(respuestas_simuladas_redes_soci!C:C,Analisis!A5)</f>
        <v>11</v>
      </c>
      <c r="C5" s="2"/>
      <c r="D5" s="2"/>
      <c r="E5" s="2"/>
      <c r="F5" s="2"/>
      <c r="G5" s="10"/>
    </row>
    <row r="6" spans="1:7" x14ac:dyDescent="0.3">
      <c r="A6" s="9" t="s">
        <v>9</v>
      </c>
      <c r="B6" s="3">
        <f>COUNTIF(respuestas_simuladas_redes_soci!C:C,Analisis!A6)</f>
        <v>6</v>
      </c>
      <c r="C6" s="2"/>
      <c r="D6" s="2"/>
      <c r="E6" s="2"/>
      <c r="F6" s="2"/>
      <c r="G6" s="10"/>
    </row>
    <row r="7" spans="1:7" x14ac:dyDescent="0.3">
      <c r="A7" s="9" t="s">
        <v>41</v>
      </c>
      <c r="B7" s="3">
        <f>COUNTIF(respuestas_simuladas_redes_soci!C:C,Analisis!A7)</f>
        <v>0</v>
      </c>
      <c r="C7" s="2"/>
      <c r="D7" s="2"/>
      <c r="E7" s="2"/>
      <c r="F7" s="2"/>
      <c r="G7" s="10"/>
    </row>
    <row r="8" spans="1:7" x14ac:dyDescent="0.3">
      <c r="A8" s="9" t="s">
        <v>15</v>
      </c>
      <c r="B8" s="3">
        <f>COUNTIF(respuestas_simuladas_redes_soci!C:C,Analisis!A8)</f>
        <v>0</v>
      </c>
      <c r="C8" s="2"/>
      <c r="D8" s="2"/>
      <c r="E8" s="2"/>
      <c r="F8" s="2"/>
      <c r="G8" s="10"/>
    </row>
    <row r="9" spans="1:7" x14ac:dyDescent="0.3">
      <c r="A9" s="9"/>
      <c r="B9" s="4">
        <f>SUM(B2+B3+B4+B5+B6+B7+B8)</f>
        <v>100</v>
      </c>
      <c r="C9" s="2"/>
      <c r="D9" s="2"/>
      <c r="E9" s="2"/>
      <c r="F9" s="2"/>
      <c r="G9" s="10"/>
    </row>
    <row r="10" spans="1:7" x14ac:dyDescent="0.3">
      <c r="A10" s="11"/>
      <c r="B10" s="2"/>
      <c r="C10" s="2"/>
      <c r="D10" s="2"/>
      <c r="E10" s="2"/>
      <c r="F10" s="2"/>
      <c r="G10" s="10"/>
    </row>
    <row r="11" spans="1:7" x14ac:dyDescent="0.3">
      <c r="A11" s="11"/>
      <c r="B11" s="2"/>
      <c r="C11" s="2"/>
      <c r="D11" s="2"/>
      <c r="E11" s="2"/>
      <c r="F11" s="2"/>
      <c r="G11" s="10"/>
    </row>
    <row r="12" spans="1:7" x14ac:dyDescent="0.3">
      <c r="A12" s="11"/>
      <c r="B12" s="2"/>
      <c r="C12" s="2"/>
      <c r="D12" s="2"/>
      <c r="E12" s="2"/>
      <c r="F12" s="2"/>
      <c r="G12" s="10"/>
    </row>
    <row r="13" spans="1:7" ht="15" thickBot="1" x14ac:dyDescent="0.35">
      <c r="A13" s="12"/>
      <c r="B13" s="13"/>
      <c r="C13" s="13"/>
      <c r="D13" s="13"/>
      <c r="E13" s="13"/>
      <c r="F13" s="13"/>
      <c r="G13" s="14"/>
    </row>
    <row r="15" spans="1:7" ht="15" thickBot="1" x14ac:dyDescent="0.35"/>
    <row r="16" spans="1:7" x14ac:dyDescent="0.3">
      <c r="A16" s="5" t="s">
        <v>42</v>
      </c>
      <c r="B16" s="6" t="s">
        <v>40</v>
      </c>
      <c r="C16" s="7"/>
      <c r="D16" s="7"/>
      <c r="E16" s="7"/>
      <c r="F16" s="7"/>
      <c r="G16" s="8"/>
    </row>
    <row r="17" spans="1:8" ht="28.8" customHeight="1" x14ac:dyDescent="0.3">
      <c r="A17" s="27" t="s">
        <v>43</v>
      </c>
      <c r="B17" s="3">
        <f>COUNTIF(respuestas_simuladas_redes_soci!D:D,Analisis!A17)</f>
        <v>0</v>
      </c>
      <c r="C17" s="2"/>
      <c r="D17" s="2"/>
      <c r="E17" s="2"/>
      <c r="F17" s="2"/>
      <c r="G17" s="10"/>
    </row>
    <row r="18" spans="1:8" x14ac:dyDescent="0.3">
      <c r="A18" s="9" t="s">
        <v>34</v>
      </c>
      <c r="B18" s="3">
        <f>COUNTIF(respuestas_simuladas_redes_soci!D:D,Analisis!A18)</f>
        <v>14</v>
      </c>
      <c r="C18" s="2"/>
      <c r="D18" s="2"/>
      <c r="E18" s="2"/>
      <c r="F18" s="2"/>
      <c r="G18" s="10"/>
    </row>
    <row r="19" spans="1:8" x14ac:dyDescent="0.3">
      <c r="A19" s="9" t="s">
        <v>23</v>
      </c>
      <c r="B19" s="3">
        <f>COUNTIF(respuestas_simuladas_redes_soci!D:D,Analisis!A19)</f>
        <v>7</v>
      </c>
      <c r="C19" s="2"/>
      <c r="D19" s="2"/>
      <c r="E19" s="2"/>
      <c r="F19" s="2"/>
      <c r="G19" s="10"/>
    </row>
    <row r="20" spans="1:8" x14ac:dyDescent="0.3">
      <c r="A20" s="9" t="s">
        <v>29</v>
      </c>
      <c r="B20" s="3">
        <f>COUNTIF(respuestas_simuladas_redes_soci!D:D,Analisis!A20)</f>
        <v>25</v>
      </c>
      <c r="C20" s="2"/>
      <c r="D20" s="2"/>
      <c r="E20" s="2"/>
      <c r="F20" s="2"/>
      <c r="G20" s="10"/>
    </row>
    <row r="21" spans="1:8" x14ac:dyDescent="0.3">
      <c r="A21" s="9" t="s">
        <v>30</v>
      </c>
      <c r="B21" s="3">
        <f>COUNTIF(respuestas_simuladas_redes_soci!D:D,Analisis!A21)</f>
        <v>24</v>
      </c>
      <c r="C21" s="2"/>
      <c r="D21" s="2"/>
      <c r="E21" s="2"/>
      <c r="F21" s="2"/>
      <c r="G21" s="10"/>
    </row>
    <row r="22" spans="1:8" x14ac:dyDescent="0.3">
      <c r="A22" s="9" t="s">
        <v>10</v>
      </c>
      <c r="B22" s="3">
        <f>COUNTIF(respuestas_simuladas_redes_soci!D:D,Analisis!A22)</f>
        <v>30</v>
      </c>
      <c r="C22" s="2"/>
      <c r="D22" s="2"/>
      <c r="E22" s="2"/>
      <c r="F22" s="2"/>
      <c r="G22" s="10"/>
    </row>
    <row r="23" spans="1:8" x14ac:dyDescent="0.3">
      <c r="A23" s="9"/>
      <c r="B23" s="4">
        <f>SUM(B18,B19,B17,B20,B21,B22)</f>
        <v>100</v>
      </c>
      <c r="C23" s="2"/>
      <c r="D23" s="2"/>
      <c r="E23" s="2"/>
      <c r="F23" s="2"/>
      <c r="G23" s="10"/>
    </row>
    <row r="24" spans="1:8" x14ac:dyDescent="0.3">
      <c r="A24" s="11"/>
      <c r="B24" s="2"/>
      <c r="C24" s="2"/>
      <c r="D24" s="2"/>
      <c r="E24" s="2"/>
      <c r="F24" s="2"/>
      <c r="G24" s="10"/>
    </row>
    <row r="25" spans="1:8" x14ac:dyDescent="0.3">
      <c r="A25" s="11"/>
      <c r="B25" s="2"/>
      <c r="C25" s="2"/>
      <c r="D25" s="2"/>
      <c r="E25" s="2"/>
      <c r="F25" s="2"/>
      <c r="G25" s="10"/>
    </row>
    <row r="26" spans="1:8" x14ac:dyDescent="0.3">
      <c r="A26" s="11"/>
      <c r="B26" s="2"/>
      <c r="C26" s="2"/>
      <c r="D26" s="2"/>
      <c r="E26" s="2"/>
      <c r="F26" s="2"/>
      <c r="G26" s="10"/>
    </row>
    <row r="27" spans="1:8" ht="15" thickBot="1" x14ac:dyDescent="0.35">
      <c r="A27" s="12"/>
      <c r="B27" s="13"/>
      <c r="C27" s="13"/>
      <c r="D27" s="13"/>
      <c r="E27" s="13"/>
      <c r="F27" s="13"/>
      <c r="G27" s="14"/>
    </row>
    <row r="29" spans="1:8" ht="15" thickBot="1" x14ac:dyDescent="0.35"/>
    <row r="30" spans="1:8" x14ac:dyDescent="0.3">
      <c r="A30" s="5" t="s">
        <v>44</v>
      </c>
      <c r="B30" s="6" t="s">
        <v>40</v>
      </c>
      <c r="C30" s="7"/>
      <c r="D30" s="7"/>
      <c r="E30" s="7"/>
      <c r="F30" s="7"/>
      <c r="G30" s="7"/>
      <c r="H30" s="8"/>
    </row>
    <row r="31" spans="1:8" x14ac:dyDescent="0.3">
      <c r="A31" s="9" t="s">
        <v>24</v>
      </c>
      <c r="B31" s="3">
        <f>COUNTIF(respuestas_simuladas_redes_soci!E:E,Analisis!A31)</f>
        <v>48</v>
      </c>
      <c r="C31" s="2"/>
      <c r="D31" s="2"/>
      <c r="E31" s="2"/>
      <c r="F31" s="2"/>
      <c r="G31" s="2"/>
      <c r="H31" s="10"/>
    </row>
    <row r="32" spans="1:8" x14ac:dyDescent="0.3">
      <c r="A32" s="9" t="s">
        <v>17</v>
      </c>
      <c r="B32" s="3">
        <f>COUNTIF(respuestas_simuladas_redes_soci!E:E,Analisis!A32)</f>
        <v>27</v>
      </c>
      <c r="C32" s="2"/>
      <c r="D32" s="2"/>
      <c r="E32" s="2"/>
      <c r="F32" s="2"/>
      <c r="G32" s="2"/>
      <c r="H32" s="10"/>
    </row>
    <row r="33" spans="1:8" x14ac:dyDescent="0.3">
      <c r="A33" s="9" t="s">
        <v>38</v>
      </c>
      <c r="B33" s="3">
        <f>COUNTIF(respuestas_simuladas_redes_soci!E:E,Analisis!A33)</f>
        <v>8</v>
      </c>
      <c r="C33" s="2"/>
      <c r="D33" s="2"/>
      <c r="E33" s="2"/>
      <c r="F33" s="2"/>
      <c r="G33" s="2"/>
      <c r="H33" s="10"/>
    </row>
    <row r="34" spans="1:8" x14ac:dyDescent="0.3">
      <c r="A34" s="9" t="s">
        <v>31</v>
      </c>
      <c r="B34" s="3">
        <f>COUNTIF(respuestas_simuladas_redes_soci!E:E,Analisis!A34)</f>
        <v>9</v>
      </c>
      <c r="C34" s="2"/>
      <c r="D34" s="2"/>
      <c r="E34" s="2"/>
      <c r="F34" s="2"/>
      <c r="G34" s="2"/>
      <c r="H34" s="10"/>
    </row>
    <row r="35" spans="1:8" x14ac:dyDescent="0.3">
      <c r="A35" s="9" t="s">
        <v>11</v>
      </c>
      <c r="B35" s="3">
        <f>COUNTIF(respuestas_simuladas_redes_soci!E:E,Analisis!A35)</f>
        <v>8</v>
      </c>
      <c r="C35" s="2"/>
      <c r="D35" s="2"/>
      <c r="E35" s="2"/>
      <c r="F35" s="2"/>
      <c r="G35" s="2"/>
      <c r="H35" s="10"/>
    </row>
    <row r="36" spans="1:8" x14ac:dyDescent="0.3">
      <c r="A36" s="9"/>
      <c r="B36" s="4">
        <f>SUM(B31,B32,B33,B34,B35)</f>
        <v>100</v>
      </c>
      <c r="C36" s="2"/>
      <c r="D36" s="2"/>
      <c r="E36" s="2"/>
      <c r="F36" s="2"/>
      <c r="G36" s="2"/>
      <c r="H36" s="10"/>
    </row>
    <row r="37" spans="1:8" x14ac:dyDescent="0.3">
      <c r="A37" s="11"/>
      <c r="B37" s="2"/>
      <c r="C37" s="2"/>
      <c r="D37" s="2"/>
      <c r="E37" s="2"/>
      <c r="F37" s="2"/>
      <c r="G37" s="2"/>
      <c r="H37" s="10"/>
    </row>
    <row r="38" spans="1:8" x14ac:dyDescent="0.3">
      <c r="A38" s="11"/>
      <c r="B38" s="2"/>
      <c r="C38" s="2"/>
      <c r="D38" s="2"/>
      <c r="E38" s="2"/>
      <c r="F38" s="2"/>
      <c r="G38" s="2"/>
      <c r="H38" s="10"/>
    </row>
    <row r="39" spans="1:8" x14ac:dyDescent="0.3">
      <c r="A39" s="11"/>
      <c r="B39" s="2"/>
      <c r="C39" s="2"/>
      <c r="D39" s="2"/>
      <c r="E39" s="2"/>
      <c r="F39" s="2"/>
      <c r="G39" s="2"/>
      <c r="H39" s="10"/>
    </row>
    <row r="40" spans="1:8" x14ac:dyDescent="0.3">
      <c r="A40" s="11"/>
      <c r="B40" s="2"/>
      <c r="C40" s="2"/>
      <c r="D40" s="2"/>
      <c r="E40" s="2"/>
      <c r="F40" s="2"/>
      <c r="G40" s="2"/>
      <c r="H40" s="10"/>
    </row>
    <row r="41" spans="1:8" x14ac:dyDescent="0.3">
      <c r="A41" s="11"/>
      <c r="B41" s="2"/>
      <c r="C41" s="2"/>
      <c r="D41" s="2"/>
      <c r="E41" s="2"/>
      <c r="F41" s="2"/>
      <c r="G41" s="2"/>
      <c r="H41" s="10"/>
    </row>
    <row r="42" spans="1:8" ht="15" thickBot="1" x14ac:dyDescent="0.35">
      <c r="A42" s="12"/>
      <c r="B42" s="13"/>
      <c r="C42" s="13"/>
      <c r="D42" s="13"/>
      <c r="E42" s="13"/>
      <c r="F42" s="13"/>
      <c r="G42" s="13"/>
      <c r="H42" s="14"/>
    </row>
    <row r="44" spans="1:8" ht="15" thickBot="1" x14ac:dyDescent="0.35"/>
    <row r="45" spans="1:8" x14ac:dyDescent="0.3">
      <c r="A45" s="16" t="s">
        <v>45</v>
      </c>
      <c r="B45" s="17" t="s">
        <v>40</v>
      </c>
      <c r="C45" s="18"/>
      <c r="D45" s="18"/>
      <c r="E45" s="18"/>
      <c r="F45" s="18"/>
      <c r="G45" s="18"/>
      <c r="H45" s="19"/>
    </row>
    <row r="46" spans="1:8" x14ac:dyDescent="0.3">
      <c r="A46" s="20" t="s">
        <v>37</v>
      </c>
      <c r="B46" s="15">
        <f>COUNTIF(respuestas_simuladas_redes_soci!F:F,Analisis!A46)</f>
        <v>13</v>
      </c>
      <c r="C46" s="21"/>
      <c r="D46" s="21"/>
      <c r="E46" s="21"/>
      <c r="F46" s="21"/>
      <c r="G46" s="21"/>
      <c r="H46" s="22"/>
    </row>
    <row r="47" spans="1:8" x14ac:dyDescent="0.3">
      <c r="A47" s="20" t="s">
        <v>12</v>
      </c>
      <c r="B47" s="15">
        <f>COUNTIF(respuestas_simuladas_redes_soci!F:F,Analisis!A47)</f>
        <v>29</v>
      </c>
      <c r="C47" s="21"/>
      <c r="D47" s="21"/>
      <c r="E47" s="21"/>
      <c r="F47" s="21"/>
      <c r="G47" s="21"/>
      <c r="H47" s="22"/>
    </row>
    <row r="48" spans="1:8" x14ac:dyDescent="0.3">
      <c r="A48" s="20" t="s">
        <v>18</v>
      </c>
      <c r="B48" s="15">
        <f>COUNTIF(respuestas_simuladas_redes_soci!F:F,Analisis!A48)</f>
        <v>29</v>
      </c>
      <c r="C48" s="21"/>
      <c r="D48" s="21"/>
      <c r="E48" s="21"/>
      <c r="F48" s="21"/>
      <c r="G48" s="21"/>
      <c r="H48" s="22"/>
    </row>
    <row r="49" spans="1:8" x14ac:dyDescent="0.3">
      <c r="A49" s="20" t="s">
        <v>46</v>
      </c>
      <c r="B49" s="15">
        <f>COUNTIF(respuestas_simuladas_redes_soci!F:F,Analisis!A49)</f>
        <v>0</v>
      </c>
      <c r="C49" s="21"/>
      <c r="D49" s="21"/>
      <c r="E49" s="21"/>
      <c r="F49" s="21"/>
      <c r="G49" s="21"/>
      <c r="H49" s="22"/>
    </row>
    <row r="50" spans="1:8" x14ac:dyDescent="0.3">
      <c r="A50" s="20" t="s">
        <v>39</v>
      </c>
      <c r="B50" s="15">
        <f>COUNTIF(respuestas_simuladas_redes_soci!F:F,Analisis!A50)</f>
        <v>12</v>
      </c>
      <c r="C50" s="21"/>
      <c r="D50" s="21"/>
      <c r="E50" s="21"/>
      <c r="F50" s="21"/>
      <c r="G50" s="21"/>
      <c r="H50" s="22"/>
    </row>
    <row r="51" spans="1:8" x14ac:dyDescent="0.3">
      <c r="A51" s="20" t="s">
        <v>32</v>
      </c>
      <c r="B51" s="15">
        <f>COUNTIF(respuestas_simuladas_redes_soci!F:F,Analisis!A51)</f>
        <v>17</v>
      </c>
      <c r="C51" s="21"/>
      <c r="D51" s="21"/>
      <c r="E51" s="21"/>
      <c r="F51" s="21"/>
      <c r="G51" s="21"/>
      <c r="H51" s="22"/>
    </row>
    <row r="52" spans="1:8" x14ac:dyDescent="0.3">
      <c r="A52" s="20"/>
      <c r="B52" s="15">
        <f>SUM(B46,B47,B48,B49,B50,B51)</f>
        <v>100</v>
      </c>
      <c r="C52" s="21"/>
      <c r="D52" s="21"/>
      <c r="E52" s="21"/>
      <c r="F52" s="21"/>
      <c r="G52" s="21"/>
      <c r="H52" s="22"/>
    </row>
    <row r="53" spans="1:8" x14ac:dyDescent="0.3">
      <c r="A53" s="23"/>
      <c r="B53" s="21"/>
      <c r="C53" s="21"/>
      <c r="D53" s="21"/>
      <c r="E53" s="21"/>
      <c r="F53" s="21"/>
      <c r="G53" s="21"/>
      <c r="H53" s="22"/>
    </row>
    <row r="54" spans="1:8" x14ac:dyDescent="0.3">
      <c r="A54" s="23"/>
      <c r="B54" s="21"/>
      <c r="C54" s="21"/>
      <c r="D54" s="21"/>
      <c r="E54" s="21"/>
      <c r="F54" s="21"/>
      <c r="G54" s="21"/>
      <c r="H54" s="22"/>
    </row>
    <row r="55" spans="1:8" x14ac:dyDescent="0.3">
      <c r="A55" s="23"/>
      <c r="B55" s="21"/>
      <c r="C55" s="21"/>
      <c r="D55" s="21"/>
      <c r="E55" s="21"/>
      <c r="F55" s="21"/>
      <c r="G55" s="21"/>
      <c r="H55" s="22"/>
    </row>
    <row r="56" spans="1:8" x14ac:dyDescent="0.3">
      <c r="A56" s="23"/>
      <c r="B56" s="21"/>
      <c r="C56" s="21"/>
      <c r="D56" s="21"/>
      <c r="E56" s="21"/>
      <c r="F56" s="21"/>
      <c r="G56" s="21"/>
      <c r="H56" s="22"/>
    </row>
    <row r="57" spans="1:8" x14ac:dyDescent="0.3">
      <c r="A57" s="23"/>
      <c r="B57" s="21"/>
      <c r="C57" s="21"/>
      <c r="D57" s="21"/>
      <c r="E57" s="21"/>
      <c r="F57" s="21"/>
      <c r="G57" s="21"/>
      <c r="H57" s="22"/>
    </row>
    <row r="58" spans="1:8" ht="15" thickBot="1" x14ac:dyDescent="0.35">
      <c r="A58" s="24"/>
      <c r="B58" s="25"/>
      <c r="C58" s="25"/>
      <c r="D58" s="25"/>
      <c r="E58" s="25"/>
      <c r="F58" s="25"/>
      <c r="G58" s="25"/>
      <c r="H58" s="26"/>
    </row>
    <row r="60" spans="1:8" ht="15" thickBot="1" x14ac:dyDescent="0.35"/>
    <row r="61" spans="1:8" x14ac:dyDescent="0.3">
      <c r="A61" s="5" t="s">
        <v>47</v>
      </c>
      <c r="B61" s="6" t="s">
        <v>40</v>
      </c>
      <c r="C61" s="7"/>
      <c r="D61" s="7"/>
      <c r="E61" s="7"/>
      <c r="F61" s="7"/>
      <c r="G61" s="7"/>
      <c r="H61" s="8"/>
    </row>
    <row r="62" spans="1:8" x14ac:dyDescent="0.3">
      <c r="A62" s="9" t="s">
        <v>19</v>
      </c>
      <c r="B62" s="3">
        <f>COUNTIF(respuestas_simuladas_redes_soci!G:G,Analisis!A62)</f>
        <v>88</v>
      </c>
      <c r="C62" s="2"/>
      <c r="D62" s="2"/>
      <c r="E62" s="2"/>
      <c r="F62" s="2"/>
      <c r="G62" s="2"/>
      <c r="H62" s="10"/>
    </row>
    <row r="63" spans="1:8" x14ac:dyDescent="0.3">
      <c r="A63" s="9" t="s">
        <v>25</v>
      </c>
      <c r="B63" s="3">
        <f>COUNTIF(respuestas_simuladas_redes_soci!G:G,Analisis!A63)</f>
        <v>3</v>
      </c>
      <c r="C63" s="2"/>
      <c r="D63" s="2"/>
      <c r="E63" s="2"/>
      <c r="F63" s="2"/>
      <c r="G63" s="2"/>
      <c r="H63" s="10"/>
    </row>
    <row r="64" spans="1:8" x14ac:dyDescent="0.3">
      <c r="A64" s="9" t="s">
        <v>13</v>
      </c>
      <c r="B64" s="3">
        <f>COUNTIF(respuestas_simuladas_redes_soci!G:G,Analisis!A64)</f>
        <v>9</v>
      </c>
      <c r="C64" s="2"/>
      <c r="D64" s="2"/>
      <c r="E64" s="2"/>
      <c r="F64" s="2"/>
      <c r="G64" s="2"/>
      <c r="H64" s="10"/>
    </row>
    <row r="65" spans="1:8" x14ac:dyDescent="0.3">
      <c r="A65" s="9" t="s">
        <v>48</v>
      </c>
      <c r="B65" s="3">
        <f>COUNTIF(respuestas_simuladas_redes_soci!G:G,Analisis!A65)</f>
        <v>0</v>
      </c>
      <c r="C65" s="2"/>
      <c r="D65" s="2"/>
      <c r="E65" s="2"/>
      <c r="F65" s="2"/>
      <c r="G65" s="2"/>
      <c r="H65" s="10"/>
    </row>
    <row r="66" spans="1:8" x14ac:dyDescent="0.3">
      <c r="A66" s="9"/>
      <c r="B66" s="4">
        <f>SUM(B62,B63,B64,B65)</f>
        <v>100</v>
      </c>
      <c r="C66" s="2"/>
      <c r="D66" s="2"/>
      <c r="E66" s="2"/>
      <c r="F66" s="2"/>
      <c r="G66" s="2"/>
      <c r="H66" s="10"/>
    </row>
    <row r="67" spans="1:8" x14ac:dyDescent="0.3">
      <c r="A67" s="11"/>
      <c r="B67" s="2"/>
      <c r="C67" s="2"/>
      <c r="D67" s="2"/>
      <c r="E67" s="2"/>
      <c r="F67" s="2"/>
      <c r="G67" s="2"/>
      <c r="H67" s="10"/>
    </row>
    <row r="68" spans="1:8" x14ac:dyDescent="0.3">
      <c r="A68" s="11"/>
      <c r="B68" s="2"/>
      <c r="C68" s="2"/>
      <c r="D68" s="2"/>
      <c r="E68" s="2"/>
      <c r="F68" s="2"/>
      <c r="G68" s="2"/>
      <c r="H68" s="10"/>
    </row>
    <row r="69" spans="1:8" x14ac:dyDescent="0.3">
      <c r="A69" s="11"/>
      <c r="B69" s="2"/>
      <c r="C69" s="2"/>
      <c r="D69" s="2"/>
      <c r="E69" s="2"/>
      <c r="F69" s="2"/>
      <c r="G69" s="2"/>
      <c r="H69" s="10"/>
    </row>
    <row r="70" spans="1:8" x14ac:dyDescent="0.3">
      <c r="A70" s="11"/>
      <c r="B70" s="2"/>
      <c r="C70" s="2"/>
      <c r="D70" s="2"/>
      <c r="E70" s="2"/>
      <c r="F70" s="2"/>
      <c r="G70" s="2"/>
      <c r="H70" s="10"/>
    </row>
    <row r="71" spans="1:8" x14ac:dyDescent="0.3">
      <c r="A71" s="11"/>
      <c r="B71" s="2"/>
      <c r="C71" s="2"/>
      <c r="D71" s="2"/>
      <c r="E71" s="2"/>
      <c r="F71" s="2"/>
      <c r="G71" s="2"/>
      <c r="H71" s="10"/>
    </row>
    <row r="72" spans="1:8" x14ac:dyDescent="0.3">
      <c r="A72" s="11"/>
      <c r="B72" s="2"/>
      <c r="C72" s="2"/>
      <c r="D72" s="2"/>
      <c r="E72" s="2"/>
      <c r="F72" s="2"/>
      <c r="G72" s="2"/>
      <c r="H72" s="10"/>
    </row>
    <row r="73" spans="1:8" ht="15" thickBot="1" x14ac:dyDescent="0.35">
      <c r="A73" s="12"/>
      <c r="B73" s="13"/>
      <c r="C73" s="13"/>
      <c r="D73" s="13"/>
      <c r="E73" s="13"/>
      <c r="F73" s="13"/>
      <c r="G73" s="13"/>
      <c r="H73" s="14"/>
    </row>
    <row r="75" spans="1:8" ht="15" thickBot="1" x14ac:dyDescent="0.35"/>
    <row r="76" spans="1:8" x14ac:dyDescent="0.3">
      <c r="A76" s="5" t="s">
        <v>49</v>
      </c>
      <c r="B76" s="6" t="s">
        <v>40</v>
      </c>
      <c r="C76" s="7"/>
      <c r="D76" s="7"/>
      <c r="E76" s="7"/>
      <c r="F76" s="7"/>
      <c r="G76" s="7"/>
      <c r="H76" s="8"/>
    </row>
    <row r="77" spans="1:8" x14ac:dyDescent="0.3">
      <c r="A77" s="9" t="s">
        <v>26</v>
      </c>
      <c r="B77" s="3">
        <f>COUNTIF(respuestas_simuladas_redes_soci!H:H,Analisis!A77)</f>
        <v>7</v>
      </c>
      <c r="C77" s="2"/>
      <c r="D77" s="2"/>
      <c r="E77" s="2"/>
      <c r="F77" s="2"/>
      <c r="G77" s="2"/>
      <c r="H77" s="10"/>
    </row>
    <row r="78" spans="1:8" x14ac:dyDescent="0.3">
      <c r="A78" s="9" t="s">
        <v>14</v>
      </c>
      <c r="B78" s="3">
        <f>COUNTIF(respuestas_simuladas_redes_soci!H:H,Analisis!A78)</f>
        <v>17</v>
      </c>
      <c r="C78" s="2"/>
      <c r="D78" s="2"/>
      <c r="E78" s="2"/>
      <c r="F78" s="2"/>
      <c r="G78" s="2"/>
      <c r="H78" s="10"/>
    </row>
    <row r="79" spans="1:8" x14ac:dyDescent="0.3">
      <c r="A79" s="9" t="s">
        <v>20</v>
      </c>
      <c r="B79" s="3">
        <f>COUNTIF(respuestas_simuladas_redes_soci!H:H,Analisis!A79)</f>
        <v>44</v>
      </c>
      <c r="C79" s="2"/>
      <c r="D79" s="2"/>
      <c r="E79" s="2"/>
      <c r="F79" s="2"/>
      <c r="G79" s="2"/>
      <c r="H79" s="10"/>
    </row>
    <row r="80" spans="1:8" x14ac:dyDescent="0.3">
      <c r="A80" s="9" t="s">
        <v>33</v>
      </c>
      <c r="B80" s="3">
        <f>COUNTIF(respuestas_simuladas_redes_soci!H:H,Analisis!A80)</f>
        <v>22</v>
      </c>
      <c r="C80" s="2"/>
      <c r="D80" s="2"/>
      <c r="E80" s="2"/>
      <c r="F80" s="2"/>
      <c r="G80" s="2"/>
      <c r="H80" s="10"/>
    </row>
    <row r="81" spans="1:8" x14ac:dyDescent="0.3">
      <c r="A81" s="9" t="s">
        <v>35</v>
      </c>
      <c r="B81" s="3">
        <f>COUNTIF(respuestas_simuladas_redes_soci!H:H,Analisis!A81)</f>
        <v>10</v>
      </c>
      <c r="C81" s="2"/>
      <c r="D81" s="2"/>
      <c r="E81" s="2"/>
      <c r="F81" s="2"/>
      <c r="G81" s="2"/>
      <c r="H81" s="10"/>
    </row>
    <row r="82" spans="1:8" x14ac:dyDescent="0.3">
      <c r="A82" s="9"/>
      <c r="B82" s="4">
        <f>SUM(B77,B78,B79,B80,B81)</f>
        <v>100</v>
      </c>
      <c r="C82" s="2"/>
      <c r="D82" s="2"/>
      <c r="E82" s="2"/>
      <c r="F82" s="2"/>
      <c r="G82" s="2"/>
      <c r="H82" s="10"/>
    </row>
    <row r="83" spans="1:8" x14ac:dyDescent="0.3">
      <c r="A83" s="11"/>
      <c r="B83" s="2"/>
      <c r="C83" s="2"/>
      <c r="D83" s="2"/>
      <c r="E83" s="2"/>
      <c r="F83" s="2"/>
      <c r="G83" s="2"/>
      <c r="H83" s="10"/>
    </row>
    <row r="84" spans="1:8" x14ac:dyDescent="0.3">
      <c r="A84" s="11"/>
      <c r="B84" s="2"/>
      <c r="C84" s="2"/>
      <c r="D84" s="2"/>
      <c r="E84" s="2"/>
      <c r="F84" s="2"/>
      <c r="G84" s="2"/>
      <c r="H84" s="10"/>
    </row>
    <row r="85" spans="1:8" x14ac:dyDescent="0.3">
      <c r="A85" s="11"/>
      <c r="B85" s="2"/>
      <c r="C85" s="2"/>
      <c r="D85" s="2"/>
      <c r="E85" s="2"/>
      <c r="F85" s="2"/>
      <c r="G85" s="2"/>
      <c r="H85" s="10"/>
    </row>
    <row r="86" spans="1:8" x14ac:dyDescent="0.3">
      <c r="A86" s="11"/>
      <c r="B86" s="2"/>
      <c r="C86" s="2"/>
      <c r="D86" s="2"/>
      <c r="E86" s="2"/>
      <c r="F86" s="2"/>
      <c r="G86" s="2"/>
      <c r="H86" s="10"/>
    </row>
    <row r="87" spans="1:8" x14ac:dyDescent="0.3">
      <c r="A87" s="11"/>
      <c r="B87" s="2"/>
      <c r="C87" s="2"/>
      <c r="D87" s="2"/>
      <c r="E87" s="2"/>
      <c r="F87" s="2"/>
      <c r="G87" s="2"/>
      <c r="H87" s="10"/>
    </row>
    <row r="88" spans="1:8" x14ac:dyDescent="0.3">
      <c r="A88" s="11"/>
      <c r="B88" s="2"/>
      <c r="C88" s="2"/>
      <c r="D88" s="2"/>
      <c r="E88" s="2"/>
      <c r="F88" s="2"/>
      <c r="G88" s="2"/>
      <c r="H88" s="10"/>
    </row>
    <row r="89" spans="1:8" ht="15" thickBot="1" x14ac:dyDescent="0.35">
      <c r="A89" s="12"/>
      <c r="B89" s="13"/>
      <c r="C89" s="13"/>
      <c r="D89" s="13"/>
      <c r="E89" s="13"/>
      <c r="F89" s="13"/>
      <c r="G89" s="13"/>
      <c r="H89" s="1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respuestas_simuladas_redes_soci</vt:lpstr>
      <vt:lpstr>Analisis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Fernando Cuastumal</dc:creator>
  <cp:lastModifiedBy>Juan Fernando Cuastumal</cp:lastModifiedBy>
  <dcterms:created xsi:type="dcterms:W3CDTF">2026-10-15T23:23:26Z</dcterms:created>
  <dcterms:modified xsi:type="dcterms:W3CDTF">2026-10-16T01:41:11Z</dcterms:modified>
</cp:coreProperties>
</file>